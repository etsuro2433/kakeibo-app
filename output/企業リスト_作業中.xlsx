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name="JAリスト" sheetId="1" state="visible" r:id="rId1"/>
    <sheet name="畜種農業" sheetId="2" state="visible" r:id="rId2"/>
    <sheet name="加電履歴" sheetId="3" state="visible" r:id="rId3"/>
  </sheets>
  <definedNames>
    <definedName name="_xlnm._FilterDatabase" localSheetId="2" hidden="1">'加電履歴'!$A$1:$L$1</definedName>
  </definedNames>
  <calcPr calcId="191028" fullCalcOnLoad="1"/>
</workbook>
</file>

<file path=xl/styles.xml><?xml version="1.0" encoding="utf-8"?>
<styleSheet xmlns="http://schemas.openxmlformats.org/spreadsheetml/2006/main">
  <numFmts count="1">
    <numFmt numFmtId="164" formatCode="yyyy/mm/dd"/>
  </numFmts>
  <fonts count="10">
    <font>
      <name val="Arial"/>
      <color rgb="FF000000"/>
      <sz val="10"/>
      <scheme val="minor"/>
    </font>
    <font>
      <name val="Arial"/>
      <family val="2"/>
      <color theme="1"/>
      <sz val="10"/>
    </font>
    <font>
      <name val="Arial"/>
      <family val="2"/>
      <color theme="1"/>
      <sz val="9"/>
    </font>
    <font>
      <name val="Arial"/>
      <charset val="128"/>
      <family val="3"/>
      <sz val="6"/>
      <scheme val="minor"/>
    </font>
    <font>
      <name val="Arial"/>
      <family val="2"/>
      <color theme="1"/>
      <sz val="10"/>
      <scheme val="major"/>
    </font>
    <font>
      <name val="ＭＳ ゴシック"/>
      <charset val="128"/>
      <family val="3"/>
      <color theme="1"/>
      <sz val="10"/>
    </font>
    <font>
      <name val="Arial"/>
      <family val="2"/>
      <b val="1"/>
      <color theme="1"/>
      <sz val="10"/>
      <scheme val="minor"/>
    </font>
    <font>
      <name val="Arial"/>
      <family val="2"/>
      <color theme="1"/>
      <sz val="10"/>
      <scheme val="minor"/>
    </font>
    <font>
      <b val="1"/>
      <color rgb="00FFFFFF"/>
    </font>
    <font>
      <color rgb="000563C1"/>
      <u val="single"/>
    </font>
  </fonts>
  <fills count="6">
    <fill>
      <patternFill/>
    </fill>
    <fill>
      <patternFill patternType="gray125"/>
    </fill>
    <fill>
      <patternFill patternType="solid">
        <fgColor theme="7" tint="0.3999755851924192"/>
        <bgColor indexed="64"/>
      </patternFill>
    </fill>
    <fill>
      <patternFill patternType="solid">
        <fgColor rgb="004472C4"/>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0" borderId="0" applyAlignment="1" pivotButton="0" quotePrefix="0" xfId="0">
      <alignment horizontal="center"/>
    </xf>
    <xf numFmtId="0" fontId="4" fillId="0" borderId="0" pivotButton="0" quotePrefix="0" xfId="0"/>
    <xf numFmtId="0" fontId="5" fillId="0" borderId="0" pivotButton="0" quotePrefix="0" xfId="0"/>
    <xf numFmtId="0" fontId="6" fillId="2" borderId="0" pivotButton="0" quotePrefix="0" xfId="0"/>
    <xf numFmtId="0" fontId="0" fillId="2" borderId="0" pivotButton="0" quotePrefix="0" xfId="0"/>
    <xf numFmtId="0" fontId="7" fillId="0" borderId="0" pivotButton="0" quotePrefix="0" xfId="0"/>
    <xf numFmtId="164" fontId="0" fillId="0" borderId="0" pivotButton="0" quotePrefix="0" xfId="0"/>
    <xf numFmtId="0" fontId="8" fillId="3" borderId="0" applyAlignment="1" pivotButton="0" quotePrefix="0" xfId="0">
      <alignment horizontal="center" vertical="center"/>
    </xf>
    <xf numFmtId="0" fontId="9" fillId="4" borderId="0" pivotButton="0" quotePrefix="0" xfId="0"/>
    <xf numFmtId="0" fontId="1" fillId="4" borderId="0" pivotButton="0" quotePrefix="0" xfId="0"/>
    <xf numFmtId="0" fontId="0" fillId="4" borderId="0" pivotButton="0" quotePrefix="0" xfId="0"/>
    <xf numFmtId="0" fontId="0" fillId="5" borderId="0" pivotButton="0" quotePrefix="0" xfId="0"/>
    <xf numFmtId="0" fontId="9" fillId="5" borderId="0" pivotButton="0" quotePrefix="0" xfId="0"/>
    <xf numFmtId="0" fontId="1" fillId="5" borderId="0" pivotButton="0" quotePrefix="0" xfId="0"/>
    <xf numFmtId="0" fontId="7" fillId="4" borderId="0" pivotButton="0" quotePrefix="0" xfId="0"/>
  </cellXfs>
  <cellStyles count="1">
    <cellStyle name="標準" xfId="0" builtinId="0"/>
  </cellStyles>
  <dxfs count="41">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general" vertical="bottom"/>
    </dxf>
    <dxf>
      <font>
        <name val="Arial"/>
        <strike val="0"/>
        <outline val="0"/>
        <shadow val="0"/>
        <condense val="0"/>
        <color theme="1"/>
        <extend val="0"/>
        <sz val="10"/>
        <vertAlign val="baseline"/>
      </font>
      <alignment horizontal="center" vertical="bottom"/>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テーブル3" displayName="テーブル3" ref="A1:AM51" headerRowCount="1" totalsRowShown="0" headerRowDxfId="40" dataDxfId="39">
  <autoFilter ref="A1:AM51"/>
  <tableColumns count="39">
    <tableColumn id="1" name="企業名" dataDxfId="38"/>
    <tableColumn id="2" name="住所" dataDxfId="37"/>
    <tableColumn id="3" name="電話番号" dataDxfId="36"/>
    <tableColumn id="4" name="地域の農業特徴・特産品情報" dataDxfId="35"/>
    <tableColumn id="5" name="想定される課題・アプローチのポイント" dataDxfId="34"/>
    <tableColumn id="6" name="提案の切り口（自社サービス・強み）" dataDxfId="33"/>
    <tableColumn id="7" name="担当部署" dataDxfId="32"/>
    <tableColumn id="8" name="役職" dataDxfId="31"/>
    <tableColumn id="9" name="担当者" dataDxfId="30"/>
    <tableColumn id="10" name="活用状況" dataDxfId="29"/>
    <tableColumn id="11" name="実習人数" dataDxfId="28"/>
    <tableColumn id="12" name="実習_国籍" dataDxfId="27"/>
    <tableColumn id="13" name="特技人数" dataDxfId="26"/>
    <tableColumn id="14" name="特技_国籍" dataDxfId="25"/>
    <tableColumn id="15" name="既存状況" dataDxfId="24"/>
    <tableColumn id="16" name="営業状況" dataDxfId="23"/>
    <tableColumn id="17" name="ステータス" dataDxfId="22"/>
    <tableColumn id="18" name="進捗" dataDxfId="21"/>
    <tableColumn id="19" name="初回訪問日" dataDxfId="20"/>
    <tableColumn id="20" name="最終コンタクト日" dataDxfId="19"/>
    <tableColumn id="21" name="最終経過日数" dataDxfId="18"/>
    <tableColumn id="22" name="訪問履歴" dataDxfId="17"/>
    <tableColumn id="23" name="最終アクション（日付・結果/詳細）" dataDxfId="16"/>
    <tableColumn id="24" name="日付" dataDxfId="15"/>
    <tableColumn id="25" name="行動" dataDxfId="14"/>
    <tableColumn id="26" name="次回アクション予定" dataDxfId="13"/>
    <tableColumn id="27" name="予定日" dataDxfId="12"/>
    <tableColumn id="28" name="連携元" dataDxfId="11"/>
    <tableColumn id="29" name="連携元所属" dataDxfId="10"/>
    <tableColumn id="30" name="連携者" dataDxfId="9"/>
    <tableColumn id="31" name="連携先" dataDxfId="8"/>
    <tableColumn id="32" name="担当所属" dataDxfId="7"/>
    <tableColumn id="33" name="営業担当" dataDxfId="6"/>
    <tableColumn id="34" name="受注日" dataDxfId="5"/>
    <tableColumn id="35" name="受注内容" dataDxfId="4"/>
    <tableColumn id="36" name="配属予定日" dataDxfId="3"/>
    <tableColumn id="37" name="受注_国籍" dataDxfId="2"/>
    <tableColumn id="38" name="受注_人数" dataDxfId="1"/>
    <tableColumn id="39" name="状況"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ja-douou.or.jp/" TargetMode="External" Id="rId1" /><Relationship Type="http://schemas.openxmlformats.org/officeDocument/2006/relationships/hyperlink" Target="https://www.ja-kitaishikari.or.jp/" TargetMode="External" Id="rId2" /><Relationship Type="http://schemas.openxmlformats.org/officeDocument/2006/relationships/hyperlink" Target="https://www.ja-shinshinotsu.or.jp/" TargetMode="External" Id="rId3" /><Relationship Type="http://schemas.openxmlformats.org/officeDocument/2006/relationships/hyperlink" Target="https://ja-iwamizawa.or.jp/" TargetMode="External" Id="rId4" /><Relationship Type="http://schemas.openxmlformats.org/officeDocument/2006/relationships/hyperlink" Target="http://www.ja-minenobu.or.jp/" TargetMode="External" Id="rId5" /><Relationship Type="http://schemas.openxmlformats.org/officeDocument/2006/relationships/hyperlink" Target="https://www.ja-bibai.or.jp/" TargetMode="External" Id="rId6" /><Relationship Type="http://schemas.openxmlformats.org/officeDocument/2006/relationships/hyperlink" Target="https://www.ja-takikawa.com/" TargetMode="External" Id="rId7" /><Relationship Type="http://schemas.openxmlformats.org/officeDocument/2006/relationships/hyperlink" Target="https://jashinsunagawa.or.jp/" TargetMode="External" Id="rId8" /><Relationship Type="http://schemas.openxmlformats.org/officeDocument/2006/relationships/hyperlink" Target="https://www.hamanasu.to/ja-moon/" TargetMode="External" Id="rId9" /><Relationship Type="http://schemas.openxmlformats.org/officeDocument/2006/relationships/hyperlink" Target="https://www.ja-kitasorachi.com/" TargetMode="External" Id="rId10" /><Relationship Type="http://schemas.openxmlformats.org/officeDocument/2006/relationships/hyperlink" Target="https://www.ja-kitaibuki.or.jp/" TargetMode="External" Id="rId11" /><Relationship Type="http://schemas.openxmlformats.org/officeDocument/2006/relationships/hyperlink" Target="https://www.japinne.or.jp/" TargetMode="External" Id="rId12" /><Relationship Type="http://schemas.openxmlformats.org/officeDocument/2006/relationships/hyperlink" Target="https://ja-yoichi.or.jp/" TargetMode="External" Id="rId13" /><Relationship Type="http://schemas.openxmlformats.org/officeDocument/2006/relationships/hyperlink" Target="https://www.ja-kyouwa.jp/" TargetMode="External" Id="rId14" /><Relationship Type="http://schemas.openxmlformats.org/officeDocument/2006/relationships/hyperlink" Target="https://ja-sinotaru.jp/" TargetMode="External" Id="rId15" /><Relationship Type="http://schemas.openxmlformats.org/officeDocument/2006/relationships/hyperlink" Target="http://www.jataisetu.or.jp/" TargetMode="External" Id="rId16" /><Relationship Type="http://schemas.openxmlformats.org/officeDocument/2006/relationships/hyperlink" Target="https://www.ja-higashikagura.com/" TargetMode="External" Id="rId17" /><Relationship Type="http://schemas.openxmlformats.org/officeDocument/2006/relationships/hyperlink" Target="https://www.ja-higashikawa.or.jp/" TargetMode="External" Id="rId18" /><Relationship Type="http://schemas.openxmlformats.org/officeDocument/2006/relationships/hyperlink" Target="https://ja-tohma.com/" TargetMode="External" Id="rId19" /><Relationship Type="http://schemas.openxmlformats.org/officeDocument/2006/relationships/hyperlink" Target="http://www.ja-kamikawa.or.jp/" TargetMode="External" Id="rId20" /><Relationship Type="http://schemas.openxmlformats.org/officeDocument/2006/relationships/hyperlink" Target="https://www.ja-pippu.or.jp/" TargetMode="External" Id="rId21" /><Relationship Type="http://schemas.openxmlformats.org/officeDocument/2006/relationships/hyperlink" Target="https://www.ja-douhokunayoro.or.jp/" TargetMode="External" Id="rId22" /><Relationship Type="http://schemas.openxmlformats.org/officeDocument/2006/relationships/hyperlink" Target="https://ja-kitasouya.jp/" TargetMode="External" Id="rId23" /><Relationship Type="http://schemas.openxmlformats.org/officeDocument/2006/relationships/hyperlink" Target="http://ja-souyaminami.or.jp/" TargetMode="External" Id="rId24" /><Relationship Type="http://schemas.openxmlformats.org/officeDocument/2006/relationships/hyperlink" Target="https://www.ja-esoya.com/" TargetMode="External" Id="rId25" /><Relationship Type="http://schemas.openxmlformats.org/officeDocument/2006/relationships/hyperlink" Target="https://www.jakitamirai.or.jp/" TargetMode="External" Id="rId26" /><Relationship Type="http://schemas.openxmlformats.org/officeDocument/2006/relationships/hyperlink" Target="https://www.ja-tokoro.or.jp/" TargetMode="External" Id="rId27" /><Relationship Type="http://schemas.openxmlformats.org/officeDocument/2006/relationships/hyperlink" Target="https://www.ja-memanbetsu.jp/" TargetMode="External" Id="rId28" /><Relationship Type="http://schemas.openxmlformats.org/officeDocument/2006/relationships/hyperlink" Target="https://www.ja-bihoro.or.jp/" TargetMode="External" Id="rId29" /><Relationship Type="http://schemas.openxmlformats.org/officeDocument/2006/relationships/hyperlink" Target="https://www.jatsubetsu.or.jp/" TargetMode="External" Id="rId30" /><Relationship Type="http://schemas.openxmlformats.org/officeDocument/2006/relationships/hyperlink" Target="https://ja-shiretokoshari.or.jp/" TargetMode="External" Id="rId31" /><Relationship Type="http://schemas.openxmlformats.org/officeDocument/2006/relationships/hyperlink" Target="https://ja-kiyosato.or.jp/" TargetMode="External" Id="rId32" /><Relationship Type="http://schemas.openxmlformats.org/officeDocument/2006/relationships/hyperlink" Target="https://ja-koshimizu.jp/" TargetMode="External" Id="rId33" /><Relationship Type="http://schemas.openxmlformats.org/officeDocument/2006/relationships/hyperlink" Target="https://www.ja-enyu.com/" TargetMode="External" Id="rId34" /><Relationship Type="http://schemas.openxmlformats.org/officeDocument/2006/relationships/hyperlink" Target="https://www.jaobihirokawanisi.or.jp/" TargetMode="External" Id="rId35" /><Relationship Type="http://schemas.openxmlformats.org/officeDocument/2006/relationships/hyperlink" Target="https://www.ja-otofuke.jp/" TargetMode="External" Id="rId36" /><Relationship Type="http://schemas.openxmlformats.org/officeDocument/2006/relationships/hyperlink" Target="https://ja-kino.com/" TargetMode="External" Id="rId37" /><Relationship Type="http://schemas.openxmlformats.org/officeDocument/2006/relationships/hyperlink" Target="https://www.ja-shihoro.or.jp/" TargetMode="External" Id="rId38" /><Relationship Type="http://schemas.openxmlformats.org/officeDocument/2006/relationships/hyperlink" Target="https://ja-kamishihoro.or.jp/" TargetMode="External" Id="rId39" /><Relationship Type="http://schemas.openxmlformats.org/officeDocument/2006/relationships/hyperlink" Target="https://www.ja-shikaoi.com/" TargetMode="External" Id="rId40" /><Relationship Type="http://schemas.openxmlformats.org/officeDocument/2006/relationships/hyperlink" Target="https://www.ja-shintoku.or.jp/" TargetMode="External" Id="rId41" /><Relationship Type="http://schemas.openxmlformats.org/officeDocument/2006/relationships/hyperlink" Target="http://www.ja-akan.or.jp/" TargetMode="External" Id="rId42" /><Relationship Type="http://schemas.openxmlformats.org/officeDocument/2006/relationships/hyperlink" Target="https://www.sip.jp/~ja-shibecya/" TargetMode="External" Id="rId43" /><Relationship Type="http://schemas.openxmlformats.org/officeDocument/2006/relationships/hyperlink" Target="https://www.ja-doutouasahi.or.jp/" TargetMode="External" Id="rId44" /><Relationship Type="http://schemas.openxmlformats.org/officeDocument/2006/relationships/hyperlink" Target="http://ja-nks.jp/" TargetMode="External" Id="rId45" /><Relationship Type="http://schemas.openxmlformats.org/officeDocument/2006/relationships/hyperlink" Target="https://www.ja-shibetsu.com/" TargetMode="External" Id="rId46" /><Relationship Type="http://schemas.openxmlformats.org/officeDocument/2006/relationships/hyperlink" Target="https://ja-okhotskabashiri.or.jp/" TargetMode="External" Id="rId47" /><Relationship Type="http://schemas.openxmlformats.org/officeDocument/2006/relationships/table" Target="/xl/tables/table1.xml" Id="rId48" /></Relationships>
</file>

<file path=xl/worksheets/_rels/sheet2.xml.rels><Relationships xmlns="http://schemas.openxmlformats.org/package/2006/relationships"><Relationship Type="http://schemas.openxmlformats.org/officeDocument/2006/relationships/hyperlink" Target="https://www.kalm.co.jp/" TargetMode="External" Id="rId1" /><Relationship Type="http://schemas.openxmlformats.org/officeDocument/2006/relationships/hyperlink" Target="http://www.machimura.co.jp/" TargetMode="External" Id="rId2" /><Relationship Type="http://schemas.openxmlformats.org/officeDocument/2006/relationships/hyperlink" Target="https://ooya-farm.com/" TargetMode="External" Id="rId3" /><Relationship Type="http://schemas.openxmlformats.org/officeDocument/2006/relationships/hyperlink" Target="https://asanofarm.com/" TargetMode="External" Id="rId4" /><Relationship Type="http://schemas.openxmlformats.org/officeDocument/2006/relationships/hyperlink" Target="https://nagamitsufarm.com/" TargetMode="External" Id="rId5" /><Relationship Type="http://schemas.openxmlformats.org/officeDocument/2006/relationships/hyperlink" Target="https://murakami-farm.com/" TargetMode="External" Id="rId6" /><Relationship Type="http://schemas.openxmlformats.org/officeDocument/2006/relationships/hyperlink" Target="https://www.mainichi-milk.co.jp/" TargetMode="External" Id="rId7" /><Relationship Type="http://schemas.openxmlformats.org/officeDocument/2006/relationships/hyperlink" Target="https://ohtafarm-tamago.com/" TargetMode="External" Id="rId8" /><Relationship Type="http://schemas.openxmlformats.org/officeDocument/2006/relationships/hyperlink" Target="https://www.utopiaagriculture.com/" TargetMode="External" Id="rId9" /><Relationship Type="http://schemas.openxmlformats.org/officeDocument/2006/relationships/hyperlink" Target="https://www.oh-farm.co.jp/" TargetMode="External" Id="rId10" /><Relationship Type="http://schemas.openxmlformats.org/officeDocument/2006/relationships/hyperlink" Target="http://www.yamanaka-pork.com/" TargetMode="External" Id="rId11" /><Relationship Type="http://schemas.openxmlformats.org/officeDocument/2006/relationships/hyperlink" Target="https://www.elmlane.co.jp/" TargetMode="External" Id="rId12" /><Relationship Type="http://schemas.openxmlformats.org/officeDocument/2006/relationships/hyperlink" Target="https://www.hokuryo.co.jp/" TargetMode="External" Id="rId13" /><Relationship Type="http://schemas.openxmlformats.org/officeDocument/2006/relationships/hyperlink" Target="https://www.hokuryo.co.jp/" TargetMode="External" Id="rId14" /><Relationship Type="http://schemas.openxmlformats.org/officeDocument/2006/relationships/hyperlink" Target="http://kumiai-farm.co.jp/" TargetMode="External" Id="rId15" /><Relationship Type="http://schemas.openxmlformats.org/officeDocument/2006/relationships/hyperlink" Target="https://kobayashibokujo.com/" TargetMode="External" Id="rId16" /><Relationship Type="http://schemas.openxmlformats.org/officeDocument/2006/relationships/hyperlink" Target="https://ikebata-farm.com/" TargetMode="External" Id="rId17" /><Relationship Type="http://schemas.openxmlformats.org/officeDocument/2006/relationships/hyperlink" Target="https://www.agricola.jp/" TargetMode="External" Id="rId18" /><Relationship Type="http://schemas.openxmlformats.org/officeDocument/2006/relationships/hyperlink" Target="https://hokkaido-chuobokujo.com/" TargetMode="External" Id="rId19" /><Relationship Type="http://schemas.openxmlformats.org/officeDocument/2006/relationships/hyperlink" Target="https://www.naganumafarm.jp/" TargetMode="External" Id="rId20" /><Relationship Type="http://schemas.openxmlformats.org/officeDocument/2006/relationships/hyperlink" Target="https://www.29yamamoto.jp/" TargetMode="External" Id="rId21" /><Relationship Type="http://schemas.openxmlformats.org/officeDocument/2006/relationships/hyperlink" Target="https://farmage.co.jp/" TargetMode="External" Id="rId22" /><Relationship Type="http://schemas.openxmlformats.org/officeDocument/2006/relationships/hyperlink" Target="https://bokuhan.co.jp/" TargetMode="External" Id="rId23" /><Relationship Type="http://schemas.openxmlformats.org/officeDocument/2006/relationships/hyperlink" Target="https://www.holstein.or.jp/" TargetMode="External" Id="rId24" /><Relationship Type="http://schemas.openxmlformats.org/officeDocument/2006/relationships/hyperlink" Target="https://www.tondenfarm.co.jp/" TargetMode="External" Id="rId25" /><Relationship Type="http://schemas.openxmlformats.org/officeDocument/2006/relationships/hyperlink" Target="https://www.facebook.com/Toubufarm/" TargetMode="External" Id="rId26" /><Relationship Type="http://schemas.openxmlformats.org/officeDocument/2006/relationships/hyperlink" Target="http://www.moromi.co.jp/" TargetMode="External" Id="rId27" /><Relationship Type="http://schemas.openxmlformats.org/officeDocument/2006/relationships/hyperlink" Target="http://biei-farm.co.jp/" TargetMode="External" Id="rId28" /><Relationship Type="http://schemas.openxmlformats.org/officeDocument/2006/relationships/hyperlink" Target="https://f-chiyoda.com/" TargetMode="External" Id="rId29" /><Relationship Type="http://schemas.openxmlformats.org/officeDocument/2006/relationships/hyperlink" Target="https://furanobokujo.com/" TargetMode="External" Id="rId30" /><Relationship Type="http://schemas.openxmlformats.org/officeDocument/2006/relationships/hyperlink" Target="https://www.toyotomi-milk.co.jp/" TargetMode="External" Id="rId31" /><Relationship Type="http://schemas.openxmlformats.org/officeDocument/2006/relationships/hyperlink" Target="https://www.nipponham-hokkaidofa.co.jp/" TargetMode="External" Id="rId32" /><Relationship Type="http://schemas.openxmlformats.org/officeDocument/2006/relationships/hyperlink" Target="https://www.ja-esoya.com/" TargetMode="External" Id="rId33" /><Relationship Type="http://schemas.openxmlformats.org/officeDocument/2006/relationships/hyperlink" Target="https://www.city.asahikawa.hokkaido.jp/500/501/504/p005231.html" TargetMode="External" Id="rId34" /><Relationship Type="http://schemas.openxmlformats.org/officeDocument/2006/relationships/hyperlink" Target="http://www.tonakai-farm.com/" TargetMode="External" Id="rId35" /><Relationship Type="http://schemas.openxmlformats.org/officeDocument/2006/relationships/hyperlink" Target="https://taisetsu-farm325.com/" TargetMode="External" Id="rId36" /><Relationship Type="http://schemas.openxmlformats.org/officeDocument/2006/relationships/hyperlink" Target="http://www.genseibokujou.co.jp/" TargetMode="External" Id="rId37" /><Relationship Type="http://schemas.openxmlformats.org/officeDocument/2006/relationships/hyperlink" Target="https://www.hokkaido-pork.jp/farm/feedone/farm_kyodo/" TargetMode="External" Id="rId38" /><Relationship Type="http://schemas.openxmlformats.org/officeDocument/2006/relationships/hyperlink" Target="https://kitakitsune-farm.com/" TargetMode="External" Id="rId39" /><Relationship Type="http://schemas.openxmlformats.org/officeDocument/2006/relationships/hyperlink" Target="http://www.bihoro-gyu.com/" TargetMode="External" Id="rId40" /><Relationship Type="http://schemas.openxmlformats.org/officeDocument/2006/relationships/hyperlink" Target="https://sasaki-web.net/" TargetMode="External" Id="rId41" /><Relationship Type="http://schemas.openxmlformats.org/officeDocument/2006/relationships/hyperlink" Target="https://tikusan.securesite.jp/" TargetMode="External" Id="rId42" /><Relationship Type="http://schemas.openxmlformats.org/officeDocument/2006/relationships/hyperlink" Target="https://www.yamaguchifarm.com/" TargetMode="External" Id="rId43" /><Relationship Type="http://schemas.openxmlformats.org/officeDocument/2006/relationships/hyperlink" Target="https://www.nishi-farm.com/" TargetMode="External" Id="rId44" /><Relationship Type="http://schemas.openxmlformats.org/officeDocument/2006/relationships/hyperlink" Target="https://tsubetsufarm.com/" TargetMode="External" Id="rId45" /><Relationship Type="http://schemas.openxmlformats.org/officeDocument/2006/relationships/hyperlink" Target="https://zoo.hokkaido.jp/okhotsctemu/" TargetMode="External" Id="rId46" /><Relationship Type="http://schemas.openxmlformats.org/officeDocument/2006/relationships/hyperlink" Target="https://nagao-sangyo.com/" TargetMode="External" Id="rId47" /><Relationship Type="http://schemas.openxmlformats.org/officeDocument/2006/relationships/hyperlink" Target="http://agriheart.jp/" TargetMode="External" Id="rId48" /></Relationships>
</file>

<file path=xl/worksheets/sheet1.xml><?xml version="1.0" encoding="utf-8"?>
<worksheet xmlns="http://schemas.openxmlformats.org/spreadsheetml/2006/main">
  <sheetPr>
    <outlinePr summaryBelow="0" summaryRight="0"/>
    <pageSetUpPr/>
  </sheetPr>
  <dimension ref="A1:AQ53"/>
  <sheetViews>
    <sheetView workbookViewId="0">
      <pane xSplit="1" topLeftCell="B1" activePane="topRight" state="frozen"/>
      <selection pane="topRight" activeCell="A1" sqref="A1:AM1"/>
    </sheetView>
  </sheetViews>
  <sheetFormatPr baseColWidth="8" defaultColWidth="12.54296875" defaultRowHeight="15.75" customHeight="1"/>
  <cols>
    <col width="13.26953125" bestFit="1" customWidth="1" min="1" max="1"/>
    <col width="40" bestFit="1" customWidth="1" min="2" max="2"/>
    <col width="12.453125" bestFit="1" customWidth="1" min="3" max="3"/>
    <col width="36.81640625" bestFit="1" customWidth="1" min="4" max="4"/>
    <col width="73" bestFit="1" customWidth="1" min="5" max="5"/>
    <col width="79.26953125" bestFit="1" customWidth="1" min="6" max="6"/>
    <col width="10.54296875" bestFit="1" customWidth="1" min="7" max="7"/>
    <col width="6.81640625" bestFit="1" customWidth="1" min="8" max="8"/>
    <col width="8.7265625" bestFit="1" customWidth="1" min="9" max="9"/>
    <col width="10.54296875" bestFit="1" customWidth="1" min="10" max="11"/>
    <col width="11.54296875" bestFit="1" customWidth="1" min="12" max="12"/>
    <col width="10.54296875" bestFit="1" customWidth="1" min="13" max="13"/>
    <col width="11.54296875" bestFit="1" customWidth="1" min="14" max="14"/>
    <col width="10.54296875" bestFit="1" customWidth="1" min="15" max="16"/>
    <col width="10.1796875" bestFit="1" customWidth="1" min="17" max="17"/>
    <col width="6.81640625" bestFit="1" customWidth="1" min="18" max="18"/>
    <col width="12.453125" bestFit="1" customWidth="1" min="19" max="19"/>
    <col width="15.54296875" bestFit="1" customWidth="1" min="20" max="20"/>
    <col width="14.26953125" bestFit="1" customWidth="1" min="21" max="21"/>
    <col width="10.54296875" bestFit="1" customWidth="1" min="22" max="22"/>
    <col width="30.1796875" bestFit="1" customWidth="1" min="23" max="23"/>
    <col width="6.81640625" bestFit="1" customWidth="1" min="24" max="25"/>
    <col width="17.54296875" bestFit="1" customWidth="1" min="26" max="26"/>
    <col width="8.7265625" bestFit="1" customWidth="1" min="27" max="28"/>
    <col width="12.453125" bestFit="1" customWidth="1" min="29" max="29"/>
    <col width="8.7265625" bestFit="1" customWidth="1" min="30" max="31"/>
    <col width="18.1796875" bestFit="1" customWidth="1" min="32" max="32"/>
    <col width="10.54296875" bestFit="1" customWidth="1" min="33" max="33"/>
    <col width="8.7265625" bestFit="1" customWidth="1" min="34" max="34"/>
    <col width="10.54296875" bestFit="1" customWidth="1" min="35" max="35"/>
    <col width="12.453125" bestFit="1" customWidth="1" min="36" max="36"/>
    <col width="11.54296875" bestFit="1" customWidth="1" min="37" max="38"/>
    <col width="6.81640625" bestFit="1" customWidth="1" min="39" max="39"/>
    <col width="14" customWidth="1" min="41" max="41"/>
    <col width="14" customWidth="1" min="42" max="42"/>
    <col width="14" customWidth="1" min="43" max="43"/>
  </cols>
  <sheetData>
    <row r="1" ht="12.5" customFormat="1" customHeight="1" s="3">
      <c r="A1" s="2" t="inlineStr">
        <is>
          <t>企業名</t>
        </is>
      </c>
      <c r="B1" s="2" t="inlineStr">
        <is>
          <t>ホームページ</t>
        </is>
      </c>
      <c r="C1" s="2" t="inlineStr">
        <is>
          <t>住所</t>
        </is>
      </c>
      <c r="D1" s="2" t="inlineStr">
        <is>
          <t>電話番号</t>
        </is>
      </c>
      <c r="E1" s="4" t="inlineStr">
        <is>
          <t>地域の農業特徴・特産品情報</t>
        </is>
      </c>
      <c r="F1" s="4" t="inlineStr">
        <is>
          <t>想定される課題・アプローチのポイント</t>
        </is>
      </c>
      <c r="G1" s="4" t="inlineStr">
        <is>
          <t>提案の切り口（自社サービス・強み）</t>
        </is>
      </c>
      <c r="H1" s="2" t="inlineStr">
        <is>
          <t>担当部署</t>
        </is>
      </c>
      <c r="I1" s="2" t="inlineStr">
        <is>
          <t>役職</t>
        </is>
      </c>
      <c r="J1" s="2" t="inlineStr">
        <is>
          <t>担当者</t>
        </is>
      </c>
      <c r="K1" s="2" t="inlineStr">
        <is>
          <t>活用状況</t>
        </is>
      </c>
      <c r="L1" s="2" t="inlineStr">
        <is>
          <t>実習人数</t>
        </is>
      </c>
      <c r="M1" s="2" t="inlineStr">
        <is>
          <t>実習_国籍</t>
        </is>
      </c>
      <c r="N1" s="2" t="inlineStr">
        <is>
          <t>特技人数</t>
        </is>
      </c>
      <c r="O1" s="2" t="inlineStr">
        <is>
          <t>特技_国籍</t>
        </is>
      </c>
      <c r="P1" s="2" t="inlineStr">
        <is>
          <t>既存状況</t>
        </is>
      </c>
      <c r="Q1" s="2" t="inlineStr">
        <is>
          <t>営業状況</t>
        </is>
      </c>
      <c r="R1" s="2" t="inlineStr">
        <is>
          <t>ステータス</t>
        </is>
      </c>
      <c r="S1" s="2" t="inlineStr">
        <is>
          <t>進捗</t>
        </is>
      </c>
      <c r="T1" s="2" t="inlineStr">
        <is>
          <t>初回訪問日</t>
        </is>
      </c>
      <c r="U1" s="2" t="inlineStr">
        <is>
          <t>最終コンタクト日</t>
        </is>
      </c>
      <c r="V1" s="2" t="inlineStr">
        <is>
          <t>最終経過日数</t>
        </is>
      </c>
      <c r="W1" s="2" t="inlineStr">
        <is>
          <t>訪問履歴</t>
        </is>
      </c>
      <c r="X1" s="2" t="inlineStr">
        <is>
          <t>最終アクション（日付・結果/詳細）</t>
        </is>
      </c>
      <c r="Y1" s="2" t="inlineStr">
        <is>
          <t>日付</t>
        </is>
      </c>
      <c r="Z1" s="2" t="inlineStr">
        <is>
          <t>行動</t>
        </is>
      </c>
      <c r="AA1" s="2" t="inlineStr">
        <is>
          <t>次回アクション予定</t>
        </is>
      </c>
      <c r="AB1" s="2" t="inlineStr">
        <is>
          <t>予定日</t>
        </is>
      </c>
      <c r="AC1" s="2" t="inlineStr">
        <is>
          <t>連携元</t>
        </is>
      </c>
      <c r="AD1" s="2" t="inlineStr">
        <is>
          <t>連携元所属</t>
        </is>
      </c>
      <c r="AE1" s="2" t="inlineStr">
        <is>
          <t>連携者</t>
        </is>
      </c>
      <c r="AF1" s="2" t="inlineStr">
        <is>
          <t>連携先</t>
        </is>
      </c>
      <c r="AG1" s="2" t="inlineStr">
        <is>
          <t>担当所属</t>
        </is>
      </c>
      <c r="AH1" s="2" t="inlineStr">
        <is>
          <t>営業担当</t>
        </is>
      </c>
      <c r="AI1" s="2" t="inlineStr">
        <is>
          <t>受注日</t>
        </is>
      </c>
      <c r="AJ1" s="2" t="inlineStr">
        <is>
          <t>受注内容</t>
        </is>
      </c>
      <c r="AK1" s="2" t="inlineStr">
        <is>
          <t>配属予定日</t>
        </is>
      </c>
      <c r="AL1" s="2" t="inlineStr">
        <is>
          <t>受注_国籍</t>
        </is>
      </c>
      <c r="AM1" s="2" t="inlineStr">
        <is>
          <t>受注_人数</t>
        </is>
      </c>
      <c r="AN1" s="2" t="inlineStr">
        <is>
          <t>状況</t>
        </is>
      </c>
      <c r="AO1" s="2" t="inlineStr">
        <is>
          <t>加電回数</t>
        </is>
      </c>
      <c r="AP1" s="2" t="inlineStr">
        <is>
          <t>最終加電日</t>
        </is>
      </c>
      <c r="AQ1" s="2" t="inlineStr">
        <is>
          <t>最終結果</t>
        </is>
      </c>
    </row>
    <row r="2" ht="12.5" customHeight="1">
      <c r="A2" s="13" t="inlineStr">
        <is>
          <t>JA道央</t>
        </is>
      </c>
      <c r="B2" s="12" t="inlineStr">
        <is>
          <t>https://www.ja-douou.or.jp/</t>
        </is>
      </c>
      <c r="C2" s="13" t="inlineStr">
        <is>
          <t>北海道恵庭市島松仲町2丁目10-1 (〒061-1352) ※本所</t>
        </is>
      </c>
      <c r="D2" s="13" t="inlineStr">
        <is>
          <t>0123-36-1122</t>
        </is>
      </c>
      <c r="E2" s="6" t="inlineStr">
        <is>
          <t>都市近郊型の稲作、野菜、花き栽培が盛ん。</t>
        </is>
      </c>
      <c r="F2" s="1" t="inlineStr">
        <is>
          <t>多品目栽培により一年を通して労働力が必要。都市部近くのため人材の定着は比較的見込める。</t>
        </is>
      </c>
      <c r="G2" s="5" t="inlineStr">
        <is>
          <t>補助金採択を条件とした完全成果報酬型を提示し、複数農家での人材シェアリングを提案。</t>
        </is>
      </c>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inlineStr">
        <is>
          <t>BREXA CrossBorder</t>
        </is>
      </c>
      <c r="AH2" s="1" t="inlineStr">
        <is>
          <t>武田 悦郎</t>
        </is>
      </c>
      <c r="AI2" s="1" t="n"/>
      <c r="AJ2" s="1" t="n"/>
      <c r="AK2" s="1" t="n"/>
      <c r="AL2" s="1" t="n"/>
      <c r="AM2" s="1" t="n"/>
      <c r="AN2" s="1" t="n"/>
      <c r="AO2">
        <f>COUNTIFS(加電履歴!$F:$F,A2,加電履歴!$E:$E,"JAリスト")</f>
        <v/>
      </c>
      <c r="AP2" s="10">
        <f>IFERROR(IF(COUNTIFS(加電履歴!$F:$F,A2,加電履歴!$E:$E,"JAリスト")=0,"",MAXIFS(加電履歴!$B:$B,加電履歴!$F:$F,A2,加電履歴!$E:$E,"JAリスト")),"")</f>
        <v/>
      </c>
      <c r="AQ2">
        <f>IFERROR(IF(COUNTIFS(加電履歴!$F:$F,A2,加電履歴!$E:$E,"JAリスト")=0,"",INDEX(加電履歴!$I:$I,MATCH(1,(加電履歴!$F:$F=A2)*(加電履歴!$E:$E="JAリスト")*(加電履歴!$B:$B=MAXIFS(加電履歴!$B:$B,加電履歴!$F:$F,A2,加電履歴!$E:$E,"JAリスト")),0))),"")</f>
        <v/>
      </c>
    </row>
    <row r="3" ht="12.5" customHeight="1">
      <c r="A3" s="13" t="inlineStr">
        <is>
          <t>JA北いしかり (旧JA北石狩)</t>
        </is>
      </c>
      <c r="B3" s="12" t="inlineStr">
        <is>
          <t>https://www.ja-kitaishikari.or.jp/</t>
        </is>
      </c>
      <c r="C3" s="13" t="inlineStr">
        <is>
          <t>北海道石狩郡当別町錦町53-57 (〒061-0295) ※本所は当別町</t>
        </is>
      </c>
      <c r="D3" s="13" t="inlineStr">
        <is>
          <t>0133-23-2530</t>
        </is>
      </c>
      <c r="E3" s="1" t="inlineStr">
        <is>
          <t>にんじん、大根などの根菜類、稲作。</t>
        </is>
      </c>
      <c r="F3" s="1" t="inlineStr">
        <is>
          <t>収穫期における短期集中的な人員不足。選果場での労働者の高齢化。</t>
        </is>
      </c>
      <c r="G3" s="1" t="inlineStr">
        <is>
          <t>選果場での業務定着に向け、語学教育ノウハウを活かした入国前後の手厚い日本語支援をアピール。</t>
        </is>
      </c>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inlineStr">
        <is>
          <t>BREXA CrossBorder</t>
        </is>
      </c>
      <c r="AH3" s="1" t="inlineStr">
        <is>
          <t>武田 悦郎</t>
        </is>
      </c>
      <c r="AI3" s="1" t="n"/>
      <c r="AJ3" s="1" t="n"/>
      <c r="AK3" s="1" t="n"/>
      <c r="AL3" s="1" t="n"/>
      <c r="AM3" s="1" t="n"/>
      <c r="AN3" s="1" t="n"/>
      <c r="AO3">
        <f>COUNTIFS(加電履歴!$F:$F,A3,加電履歴!$E:$E,"JAリスト")</f>
        <v/>
      </c>
      <c r="AP3" s="10">
        <f>IFERROR(IF(COUNTIFS(加電履歴!$F:$F,A3,加電履歴!$E:$E,"JAリスト")=0,"",MAXIFS(加電履歴!$B:$B,加電履歴!$F:$F,A3,加電履歴!$E:$E,"JAリスト")),"")</f>
        <v/>
      </c>
      <c r="AQ3">
        <f>IFERROR(IF(COUNTIFS(加電履歴!$F:$F,A3,加電履歴!$E:$E,"JAリスト")=0,"",INDEX(加電履歴!$I:$I,MATCH(1,(加電履歴!$F:$F=A3)*(加電履歴!$E:$E="JAリスト")*(加電履歴!$B:$B=MAXIFS(加電履歴!$B:$B,加電履歴!$F:$F,A3,加電履歴!$E:$E,"JAリスト")),0))),"")</f>
        <v/>
      </c>
    </row>
    <row r="4" ht="12.5" customHeight="1">
      <c r="A4" s="13" t="inlineStr">
        <is>
          <t>JA新しのつ</t>
        </is>
      </c>
      <c r="B4" s="12" t="inlineStr">
        <is>
          <t>https://www.ja-shinshinotsu.or.jp/</t>
        </is>
      </c>
      <c r="C4" s="13" t="inlineStr">
        <is>
          <t>北海道石狩郡新篠津村第47線北13 (〒068-1193)</t>
        </is>
      </c>
      <c r="D4" s="13" t="inlineStr">
        <is>
          <t>0126-57-2311</t>
        </is>
      </c>
      <c r="E4" s="1" t="inlineStr">
        <is>
          <t>クリーン農業を推進。米、玉ねぎ、白菜。</t>
        </is>
      </c>
      <c r="F4" s="1" t="inlineStr">
        <is>
          <t>村単位での労働力確保が難しく、外部からの人材流入が不可欠。</t>
        </is>
      </c>
      <c r="G4" s="1" t="inlineStr">
        <is>
          <t>村全体での受け入れ体制構築に向け、語学教育と人材紹介のハイブリッド支援を成果報酬で提案。</t>
        </is>
      </c>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inlineStr">
        <is>
          <t>BREXA CrossBorder</t>
        </is>
      </c>
      <c r="AH4" s="1" t="inlineStr">
        <is>
          <t>武田 悦郎</t>
        </is>
      </c>
      <c r="AI4" s="1" t="n"/>
      <c r="AJ4" s="1" t="n"/>
      <c r="AK4" s="1" t="n"/>
      <c r="AL4" s="1" t="n"/>
      <c r="AM4" s="1" t="n"/>
      <c r="AN4" s="1" t="n"/>
      <c r="AO4">
        <f>COUNTIFS(加電履歴!$F:$F,A4,加電履歴!$E:$E,"JAリスト")</f>
        <v/>
      </c>
      <c r="AP4" s="10">
        <f>IFERROR(IF(COUNTIFS(加電履歴!$F:$F,A4,加電履歴!$E:$E,"JAリスト")=0,"",MAXIFS(加電履歴!$B:$B,加電履歴!$F:$F,A4,加電履歴!$E:$E,"JAリスト")),"")</f>
        <v/>
      </c>
      <c r="AQ4">
        <f>IFERROR(IF(COUNTIFS(加電履歴!$F:$F,A4,加電履歴!$E:$E,"JAリスト")=0,"",INDEX(加電履歴!$I:$I,MATCH(1,(加電履歴!$F:$F=A4)*(加電履歴!$E:$E="JAリスト")*(加電履歴!$B:$B=MAXIFS(加電履歴!$B:$B,加電履歴!$F:$F,A4,加電履歴!$E:$E,"JAリスト")),0))),"")</f>
        <v/>
      </c>
    </row>
    <row r="5" ht="12.5" customHeight="1">
      <c r="A5" s="13" t="inlineStr">
        <is>
          <t>JAいわみざわ</t>
        </is>
      </c>
      <c r="B5" s="12" t="inlineStr">
        <is>
          <t>https://ja-iwamizawa.or.jp/</t>
        </is>
      </c>
      <c r="C5" s="13" t="inlineStr">
        <is>
          <t>北海道岩見沢市2条西1丁目1番地 (〒068-0022) ※新本所</t>
        </is>
      </c>
      <c r="D5" s="13" t="inlineStr">
        <is>
          <t>0126-25-2211</t>
        </is>
      </c>
      <c r="E5" s="1" t="inlineStr">
        <is>
          <t>道内有数の稲作地帯。玉ねぎや小麦も大規模。</t>
        </is>
      </c>
      <c r="F5" s="1" t="inlineStr">
        <is>
          <t>大型機械オペレーターの補助や、玉ねぎの収穫・選別作業の人手不足。</t>
        </is>
      </c>
      <c r="G5" s="1" t="inlineStr">
        <is>
          <t>特定技能人材の提案とともに、初期費用ゼロの補助金活用スキームで導入ハードルを下げる。</t>
        </is>
      </c>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inlineStr">
        <is>
          <t>BREXA CrossBorder</t>
        </is>
      </c>
      <c r="AH5" s="1" t="inlineStr">
        <is>
          <t>武田 悦郎</t>
        </is>
      </c>
      <c r="AI5" s="1" t="n"/>
      <c r="AJ5" s="1" t="n"/>
      <c r="AK5" s="1" t="n"/>
      <c r="AL5" s="1" t="n"/>
      <c r="AM5" s="1" t="n"/>
      <c r="AN5" s="1" t="n"/>
      <c r="AO5">
        <f>COUNTIFS(加電履歴!$F:$F,A5,加電履歴!$E:$E,"JAリスト")</f>
        <v/>
      </c>
      <c r="AP5" s="10">
        <f>IFERROR(IF(COUNTIFS(加電履歴!$F:$F,A5,加電履歴!$E:$E,"JAリスト")=0,"",MAXIFS(加電履歴!$B:$B,加電履歴!$F:$F,A5,加電履歴!$E:$E,"JAリスト")),"")</f>
        <v/>
      </c>
      <c r="AQ5">
        <f>IFERROR(IF(COUNTIFS(加電履歴!$F:$F,A5,加電履歴!$E:$E,"JAリスト")=0,"",INDEX(加電履歴!$I:$I,MATCH(1,(加電履歴!$F:$F=A5)*(加電履歴!$E:$E="JAリスト")*(加電履歴!$B:$B=MAXIFS(加電履歴!$B:$B,加電履歴!$F:$F,A5,加電履歴!$E:$E,"JAリスト")),0))),"")</f>
        <v/>
      </c>
    </row>
    <row r="6" ht="12.5" customHeight="1">
      <c r="A6" s="13" t="inlineStr">
        <is>
          <t>JAみねのぶ</t>
        </is>
      </c>
      <c r="B6" s="12" t="inlineStr">
        <is>
          <t>http://www.ja-minenobu.or.jp/</t>
        </is>
      </c>
      <c r="C6" s="13" t="inlineStr">
        <is>
          <t>北海道美唄市峰延町本町1862-1</t>
        </is>
      </c>
      <c r="D6" s="13" t="inlineStr">
        <is>
          <t>0126-67-2111</t>
        </is>
      </c>
      <c r="E6" s="1" t="inlineStr">
        <is>
          <t>米、メロン、アスパラなどの高付加価値作物。</t>
        </is>
      </c>
      <c r="F6" s="1" t="inlineStr">
        <is>
          <t>手作業が必要な収穫作業において、繊細な作業ができる人材が求められる。</t>
        </is>
      </c>
      <c r="G6" s="1" t="inlineStr">
        <is>
          <t>やさしい日本語講座を通じた細やかなコミュニケーション支援を強調し、作業ミスの防止をアピール。</t>
        </is>
      </c>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inlineStr">
        <is>
          <t>BREXA CrossBorder</t>
        </is>
      </c>
      <c r="AH6" s="1" t="inlineStr">
        <is>
          <t>武田 悦郎</t>
        </is>
      </c>
      <c r="AI6" s="1" t="n"/>
      <c r="AJ6" s="1" t="n"/>
      <c r="AK6" s="1" t="n"/>
      <c r="AL6" s="1" t="n"/>
      <c r="AM6" s="1" t="n"/>
      <c r="AN6" s="1" t="n"/>
      <c r="AO6">
        <f>COUNTIFS(加電履歴!$F:$F,A6,加電履歴!$E:$E,"JAリスト")</f>
        <v/>
      </c>
      <c r="AP6" s="10">
        <f>IFERROR(IF(COUNTIFS(加電履歴!$F:$F,A6,加電履歴!$E:$E,"JAリスト")=0,"",MAXIFS(加電履歴!$B:$B,加電履歴!$F:$F,A6,加電履歴!$E:$E,"JAリスト")),"")</f>
        <v/>
      </c>
      <c r="AQ6">
        <f>IFERROR(IF(COUNTIFS(加電履歴!$F:$F,A6,加電履歴!$E:$E,"JAリスト")=0,"",INDEX(加電履歴!$I:$I,MATCH(1,(加電履歴!$F:$F=A6)*(加電履歴!$E:$E="JAリスト")*(加電履歴!$B:$B=MAXIFS(加電履歴!$B:$B,加電履歴!$F:$F,A6,加電履歴!$E:$E,"JAリスト")),0))),"")</f>
        <v/>
      </c>
    </row>
    <row r="7" ht="12.5" customHeight="1">
      <c r="A7" s="13" t="inlineStr">
        <is>
          <t>JAびばい</t>
        </is>
      </c>
      <c r="B7" s="12" t="inlineStr">
        <is>
          <t>https://www.ja-bibai.or.jp/</t>
        </is>
      </c>
      <c r="C7" s="13" t="inlineStr">
        <is>
          <t>北海道美唄市大通東1条北1-2-1</t>
        </is>
      </c>
      <c r="D7" s="13" t="inlineStr">
        <is>
          <t>0126-63-2162</t>
        </is>
      </c>
      <c r="E7" s="1" t="inlineStr">
        <is>
          <t>米、グリーンアスパラ、雪中キャベツ。</t>
        </is>
      </c>
      <c r="F7" s="1" t="inlineStr">
        <is>
          <t>冬季の特産品もあり、年間を通した労働力の確保が課題。</t>
        </is>
      </c>
      <c r="G7" s="1" t="inlineStr">
        <is>
          <t>通年雇用を前提とした人材配置。補助金活用によるコスト削減効果をシミュレーションして提示。</t>
        </is>
      </c>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inlineStr">
        <is>
          <t>BREXA CrossBorder</t>
        </is>
      </c>
      <c r="AH7" s="1" t="inlineStr">
        <is>
          <t>武田 悦郎</t>
        </is>
      </c>
      <c r="AI7" s="1" t="n"/>
      <c r="AJ7" s="1" t="n"/>
      <c r="AK7" s="1" t="n"/>
      <c r="AL7" s="1" t="n"/>
      <c r="AM7" s="1" t="n"/>
      <c r="AN7" s="1" t="n"/>
      <c r="AO7">
        <f>COUNTIFS(加電履歴!$F:$F,A7,加電履歴!$E:$E,"JAリスト")</f>
        <v/>
      </c>
      <c r="AP7" s="10">
        <f>IFERROR(IF(COUNTIFS(加電履歴!$F:$F,A7,加電履歴!$E:$E,"JAリスト")=0,"",MAXIFS(加電履歴!$B:$B,加電履歴!$F:$F,A7,加電履歴!$E:$E,"JAリスト")),"")</f>
        <v/>
      </c>
      <c r="AQ7">
        <f>IFERROR(IF(COUNTIFS(加電履歴!$F:$F,A7,加電履歴!$E:$E,"JAリスト")=0,"",INDEX(加電履歴!$I:$I,MATCH(1,(加電履歴!$F:$F=A7)*(加電履歴!$E:$E="JAリスト")*(加電履歴!$B:$B=MAXIFS(加電履歴!$B:$B,加電履歴!$F:$F,A7,加電履歴!$E:$E,"JAリスト")),0))),"")</f>
        <v/>
      </c>
    </row>
    <row r="8" ht="12.5" customHeight="1">
      <c r="A8" s="13" t="inlineStr">
        <is>
          <t>JAたきかわ</t>
        </is>
      </c>
      <c r="B8" s="12" t="inlineStr">
        <is>
          <t>https://www.ja-takikawa.com/</t>
        </is>
      </c>
      <c r="C8" s="13" t="inlineStr">
        <is>
          <t>北海道滝川市本町4丁目1-31</t>
        </is>
      </c>
      <c r="D8" s="13" t="inlineStr">
        <is>
          <t>0125-22-3401</t>
        </is>
      </c>
      <c r="E8" s="1" t="inlineStr">
        <is>
          <t>りんご、米、菜の花、小麦、玉ねぎ。</t>
        </is>
      </c>
      <c r="F8" s="1" t="inlineStr">
        <is>
          <t>果樹の剪定や収穫など、技術習得が必要な作業が多い。</t>
        </is>
      </c>
      <c r="G8" s="1" t="inlineStr">
        <is>
          <t>長期就労を見据えた技能実習からの移行支援と、継続的な語学・生活サポートを提案。</t>
        </is>
      </c>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inlineStr">
        <is>
          <t>BREXA CrossBorder</t>
        </is>
      </c>
      <c r="AH8" s="1" t="inlineStr">
        <is>
          <t>武田 悦郎</t>
        </is>
      </c>
      <c r="AI8" s="1" t="n"/>
      <c r="AJ8" s="1" t="n"/>
      <c r="AK8" s="1" t="n"/>
      <c r="AL8" s="1" t="n"/>
      <c r="AM8" s="1" t="n"/>
      <c r="AN8" s="1" t="n"/>
      <c r="AO8">
        <f>COUNTIFS(加電履歴!$F:$F,A8,加電履歴!$E:$E,"JAリスト")</f>
        <v/>
      </c>
      <c r="AP8" s="10">
        <f>IFERROR(IF(COUNTIFS(加電履歴!$F:$F,A8,加電履歴!$E:$E,"JAリスト")=0,"",MAXIFS(加電履歴!$B:$B,加電履歴!$F:$F,A8,加電履歴!$E:$E,"JAリスト")),"")</f>
        <v/>
      </c>
      <c r="AQ8">
        <f>IFERROR(IF(COUNTIFS(加電履歴!$F:$F,A8,加電履歴!$E:$E,"JAリスト")=0,"",INDEX(加電履歴!$I:$I,MATCH(1,(加電履歴!$F:$F=A8)*(加電履歴!$E:$E="JAリスト")*(加電履歴!$B:$B=MAXIFS(加電履歴!$B:$B,加電履歴!$F:$F,A8,加電履歴!$E:$E,"JAリスト")),0))),"")</f>
        <v/>
      </c>
    </row>
    <row r="9" ht="12.5" customHeight="1">
      <c r="A9" s="13" t="inlineStr">
        <is>
          <t>JA新すながわ</t>
        </is>
      </c>
      <c r="B9" s="12" t="inlineStr">
        <is>
          <t>https://jashinsunagawa.or.jp/</t>
        </is>
      </c>
      <c r="C9" s="13" t="inlineStr">
        <is>
          <t>北海道砂川市東1条南1-1-20</t>
        </is>
      </c>
      <c r="D9" s="13" t="inlineStr">
        <is>
          <t>0125-54-3181</t>
        </is>
      </c>
      <c r="E9" s="1" t="inlineStr">
        <is>
          <t>ゆめぴりか等の高品質米、トマト。</t>
        </is>
      </c>
      <c r="F9" s="1" t="inlineStr">
        <is>
          <t>ハウス栽培における温度管理や収穫作業の労働力不足。</t>
        </is>
      </c>
      <c r="G9" s="1" t="inlineStr">
        <is>
          <t>リスクのない完全成果報酬型モデルを強調し、初めての外国人材受け入れテスト導入を打診。</t>
        </is>
      </c>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inlineStr">
        <is>
          <t>BREXA CrossBorder</t>
        </is>
      </c>
      <c r="AH9" s="1" t="inlineStr">
        <is>
          <t>武田 悦郎</t>
        </is>
      </c>
      <c r="AI9" s="1" t="n"/>
      <c r="AJ9" s="1" t="n"/>
      <c r="AK9" s="1" t="n"/>
      <c r="AL9" s="1" t="n"/>
      <c r="AM9" s="1" t="n"/>
      <c r="AN9" s="1" t="n"/>
      <c r="AO9">
        <f>COUNTIFS(加電履歴!$F:$F,A9,加電履歴!$E:$E,"JAリスト")</f>
        <v/>
      </c>
      <c r="AP9" s="10">
        <f>IFERROR(IF(COUNTIFS(加電履歴!$F:$F,A9,加電履歴!$E:$E,"JAリスト")=0,"",MAXIFS(加電履歴!$B:$B,加電履歴!$F:$F,A9,加電履歴!$E:$E,"JAリスト")),"")</f>
        <v/>
      </c>
      <c r="AQ9">
        <f>IFERROR(IF(COUNTIFS(加電履歴!$F:$F,A9,加電履歴!$E:$E,"JAリスト")=0,"",INDEX(加電履歴!$I:$I,MATCH(1,(加電履歴!$F:$F=A9)*(加電履歴!$E:$E="JAリスト")*(加電履歴!$B:$B=MAXIFS(加電履歴!$B:$B,加電履歴!$F:$F,A9,加電履歴!$E:$E,"JAリスト")),0))),"")</f>
        <v/>
      </c>
    </row>
    <row r="10" ht="12.5" customHeight="1">
      <c r="A10" s="13" t="inlineStr">
        <is>
          <t>JA月形町</t>
        </is>
      </c>
      <c r="B10" s="12" t="inlineStr">
        <is>
          <t>https://www.hamanasu.to/ja-moon/</t>
        </is>
      </c>
      <c r="C10" s="13" t="inlineStr">
        <is>
          <t>北海道樺戸郡月形町1069番地</t>
        </is>
      </c>
      <c r="D10" s="13" t="inlineStr">
        <is>
          <t>0126-53-2111</t>
        </is>
      </c>
      <c r="E10" s="1" t="inlineStr">
        <is>
          <t>花き（切り花）、メロン、スイカ、トマト。</t>
        </is>
      </c>
      <c r="F10" s="1" t="inlineStr">
        <is>
          <t>花き栽培は手作業が多く、繁忙期の労働力確保が死活問題。</t>
        </is>
      </c>
      <c r="G10" s="1" t="inlineStr">
        <is>
          <t>繊細な作業指示が伝わるよう、独自の語学教育プログラム（異文化理解・日本語講座）を強みとする。</t>
        </is>
      </c>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inlineStr">
        <is>
          <t>BREXA CrossBorder</t>
        </is>
      </c>
      <c r="AH10" s="1" t="inlineStr">
        <is>
          <t>武田 悦郎</t>
        </is>
      </c>
      <c r="AI10" s="1" t="n"/>
      <c r="AJ10" s="1" t="n"/>
      <c r="AK10" s="1" t="n"/>
      <c r="AL10" s="1" t="n"/>
      <c r="AM10" s="1" t="n"/>
      <c r="AN10" s="1" t="n"/>
      <c r="AO10">
        <f>COUNTIFS(加電履歴!$F:$F,A10,加電履歴!$E:$E,"JAリスト")</f>
        <v/>
      </c>
      <c r="AP10" s="10">
        <f>IFERROR(IF(COUNTIFS(加電履歴!$F:$F,A10,加電履歴!$E:$E,"JAリスト")=0,"",MAXIFS(加電履歴!$B:$B,加電履歴!$F:$F,A10,加電履歴!$E:$E,"JAリスト")),"")</f>
        <v/>
      </c>
      <c r="AQ10">
        <f>IFERROR(IF(COUNTIFS(加電履歴!$F:$F,A10,加電履歴!$E:$E,"JAリスト")=0,"",INDEX(加電履歴!$I:$I,MATCH(1,(加電履歴!$F:$F=A10)*(加電履歴!$E:$E="JAリスト")*(加電履歴!$B:$B=MAXIFS(加電履歴!$B:$B,加電履歴!$F:$F,A10,加電履歴!$E:$E,"JAリスト")),0))),"")</f>
        <v/>
      </c>
    </row>
    <row r="11" ht="12.5" customHeight="1">
      <c r="A11" s="13" t="inlineStr">
        <is>
          <t>JAきたそらち</t>
        </is>
      </c>
      <c r="B11" s="12" t="inlineStr">
        <is>
          <t>https://www.ja-kitasorachi.com/</t>
        </is>
      </c>
      <c r="C11" s="13" t="inlineStr">
        <is>
          <t>北海道深川市深川町字メム10号線山3線5850番地 (〒074-0015)</t>
        </is>
      </c>
      <c r="D11" s="13" t="inlineStr">
        <is>
          <t>0164-22-6600</t>
        </is>
      </c>
      <c r="E11" s="1" t="inlineStr">
        <is>
          <t>米、そば、りんご、メロン。</t>
        </is>
      </c>
      <c r="F11" s="1" t="inlineStr">
        <is>
          <t>そばや米の大規模栽培における収穫補助、選果場での人材不足。</t>
        </is>
      </c>
      <c r="G11" s="1" t="inlineStr">
        <is>
          <t>補助金申請サポートを含む一気通貫の支援体制を提示し、組合員（農家）への直接紹介を仰ぐ。</t>
        </is>
      </c>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inlineStr">
        <is>
          <t>BREXA CrossBorder</t>
        </is>
      </c>
      <c r="AH11" s="1" t="inlineStr">
        <is>
          <t>武田 悦郎</t>
        </is>
      </c>
      <c r="AI11" s="1" t="n"/>
      <c r="AJ11" s="1" t="n"/>
      <c r="AK11" s="1" t="n"/>
      <c r="AL11" s="1" t="n"/>
      <c r="AM11" s="1" t="n"/>
      <c r="AN11" s="1" t="n"/>
      <c r="AO11">
        <f>COUNTIFS(加電履歴!$F:$F,A11,加電履歴!$E:$E,"JAリスト")</f>
        <v/>
      </c>
      <c r="AP11" s="10">
        <f>IFERROR(IF(COUNTIFS(加電履歴!$F:$F,A11,加電履歴!$E:$E,"JAリスト")=0,"",MAXIFS(加電履歴!$B:$B,加電履歴!$F:$F,A11,加電履歴!$E:$E,"JAリスト")),"")</f>
        <v/>
      </c>
      <c r="AQ11">
        <f>IFERROR(IF(COUNTIFS(加電履歴!$F:$F,A11,加電履歴!$E:$E,"JAリスト")=0,"",INDEX(加電履歴!$I:$I,MATCH(1,(加電履歴!$F:$F=A11)*(加電履歴!$E:$E="JAリスト")*(加電履歴!$B:$B=MAXIFS(加電履歴!$B:$B,加電履歴!$F:$F,A11,加電履歴!$E:$E,"JAリスト")),0))),"")</f>
        <v/>
      </c>
    </row>
    <row r="12" ht="12.5" customHeight="1">
      <c r="A12" s="13" t="inlineStr">
        <is>
          <t>JA北いぶき</t>
        </is>
      </c>
      <c r="B12" s="12" t="inlineStr">
        <is>
          <t>https://www.ja-kitaibuki.or.jp/</t>
        </is>
      </c>
      <c r="C12" s="13" t="inlineStr">
        <is>
          <t>北海道雨竜郡秩父別町1298-8 (〒078-2102) ※本所・秩父別支所</t>
        </is>
      </c>
      <c r="D12" s="13" t="inlineStr">
        <is>
          <t>0164-33-2011</t>
        </is>
      </c>
      <c r="E12" s="1" t="inlineStr">
        <is>
          <t>トマト、ブロッコリー、米。</t>
        </is>
      </c>
      <c r="F12" s="1" t="inlineStr">
        <is>
          <t>鮮度が命の作物において、収穫タイミングを逃さないための人員確保。</t>
        </is>
      </c>
      <c r="G12" s="1" t="inlineStr">
        <is>
          <t>語学教育の知見を活かした「現場で使える日本語」の事前教育を強調し、即戦力化をアピール。</t>
        </is>
      </c>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inlineStr">
        <is>
          <t>BREXA CrossBorder</t>
        </is>
      </c>
      <c r="AH12" s="1" t="inlineStr">
        <is>
          <t>武田 悦郎</t>
        </is>
      </c>
      <c r="AI12" s="1" t="n"/>
      <c r="AJ12" s="1" t="n"/>
      <c r="AK12" s="1" t="n"/>
      <c r="AL12" s="1" t="n"/>
      <c r="AM12" s="1" t="n"/>
      <c r="AN12" s="1" t="n"/>
      <c r="AO12">
        <f>COUNTIFS(加電履歴!$F:$F,A12,加電履歴!$E:$E,"JAリスト")</f>
        <v/>
      </c>
      <c r="AP12" s="10">
        <f>IFERROR(IF(COUNTIFS(加電履歴!$F:$F,A12,加電履歴!$E:$E,"JAリスト")=0,"",MAXIFS(加電履歴!$B:$B,加電履歴!$F:$F,A12,加電履歴!$E:$E,"JAリスト")),"")</f>
        <v/>
      </c>
      <c r="AQ12">
        <f>IFERROR(IF(COUNTIFS(加電履歴!$F:$F,A12,加電履歴!$E:$E,"JAリスト")=0,"",INDEX(加電履歴!$I:$I,MATCH(1,(加電履歴!$F:$F=A12)*(加電履歴!$E:$E="JAリスト")*(加電履歴!$B:$B=MAXIFS(加電履歴!$B:$B,加電履歴!$F:$F,A12,加電履歴!$E:$E,"JAリスト")),0))),"")</f>
        <v/>
      </c>
    </row>
    <row r="13" ht="12.5" customHeight="1">
      <c r="A13" s="13" t="inlineStr">
        <is>
          <t>JAピンネ</t>
        </is>
      </c>
      <c r="B13" s="12" t="inlineStr">
        <is>
          <t>https://www.japinne.or.jp/</t>
        </is>
      </c>
      <c r="C13" s="13" t="inlineStr">
        <is>
          <t>北海道樺戸郡新十津川町字中央6番地29 (〒073-1103)</t>
        </is>
      </c>
      <c r="D13" s="13" t="inlineStr">
        <is>
          <t>0125-76-2221</t>
        </is>
      </c>
      <c r="E13" s="1" t="inlineStr">
        <is>
          <t>米、メロン、アスパラガス。</t>
        </is>
      </c>
      <c r="F13" s="1" t="inlineStr">
        <is>
          <t>農業従事者の高齢化が顕著であり、若手労働力の確保が急務。</t>
        </is>
      </c>
      <c r="G13" s="1" t="inlineStr">
        <is>
          <t>初期費用の持ち出しがないスキームを説明し、若手特定技能人材による事業継承サポートを提案。</t>
        </is>
      </c>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inlineStr">
        <is>
          <t>BREXA CrossBorder</t>
        </is>
      </c>
      <c r="AH13" s="1" t="inlineStr">
        <is>
          <t>武田 悦郎</t>
        </is>
      </c>
      <c r="AI13" s="1" t="n"/>
      <c r="AJ13" s="1" t="n"/>
      <c r="AK13" s="1" t="n"/>
      <c r="AL13" s="1" t="n"/>
      <c r="AM13" s="1" t="n"/>
      <c r="AN13" s="1" t="n"/>
      <c r="AO13">
        <f>COUNTIFS(加電履歴!$F:$F,A13,加電履歴!$E:$E,"JAリスト")</f>
        <v/>
      </c>
      <c r="AP13" s="10">
        <f>IFERROR(IF(COUNTIFS(加電履歴!$F:$F,A13,加電履歴!$E:$E,"JAリスト")=0,"",MAXIFS(加電履歴!$B:$B,加電履歴!$F:$F,A13,加電履歴!$E:$E,"JAリスト")),"")</f>
        <v/>
      </c>
      <c r="AQ13">
        <f>IFERROR(IF(COUNTIFS(加電履歴!$F:$F,A13,加電履歴!$E:$E,"JAリスト")=0,"",INDEX(加電履歴!$I:$I,MATCH(1,(加電履歴!$F:$F=A13)*(加電履歴!$E:$E="JAリスト")*(加電履歴!$B:$B=MAXIFS(加電履歴!$B:$B,加電履歴!$F:$F,A13,加電履歴!$E:$E,"JAリスト")),0))),"")</f>
        <v/>
      </c>
    </row>
    <row r="14" ht="12.5" customHeight="1">
      <c r="A14" s="13" t="inlineStr">
        <is>
          <t>JAよいち (旧JA余市町)</t>
        </is>
      </c>
      <c r="B14" s="12" t="inlineStr">
        <is>
          <t>https://ja-yoichi.or.jp/</t>
        </is>
      </c>
      <c r="C14" s="13" t="inlineStr">
        <is>
          <t>北海道余市郡余市町黒川町5丁目22番地</t>
        </is>
      </c>
      <c r="D14" s="13" t="inlineStr">
        <is>
          <t>0135-23-3121</t>
        </is>
      </c>
      <c r="E14" s="1" t="inlineStr">
        <is>
          <t>りんご、ぶどう（ワイン用含む）、さくらんぼ。</t>
        </is>
      </c>
      <c r="F14" s="1" t="inlineStr">
        <is>
          <t>ワイン用ぶどうの収穫など、季節ごとの労働ピークが激しい。</t>
        </is>
      </c>
      <c r="G14" s="1" t="inlineStr">
        <is>
          <t>農業だけでなく、飲食料品製造（ワイナリー等）の特定技能人材も視野に入れたハイブリッド提案。</t>
        </is>
      </c>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inlineStr">
        <is>
          <t>BREXA CrossBorder</t>
        </is>
      </c>
      <c r="AH14" s="1" t="inlineStr">
        <is>
          <t>武田 悦郎</t>
        </is>
      </c>
      <c r="AI14" s="1" t="n"/>
      <c r="AJ14" s="1" t="n"/>
      <c r="AK14" s="1" t="n"/>
      <c r="AL14" s="1" t="n"/>
      <c r="AM14" s="1" t="n"/>
      <c r="AN14" s="1" t="n"/>
      <c r="AO14">
        <f>COUNTIFS(加電履歴!$F:$F,A14,加電履歴!$E:$E,"JAリスト")</f>
        <v/>
      </c>
      <c r="AP14" s="10">
        <f>IFERROR(IF(COUNTIFS(加電履歴!$F:$F,A14,加電履歴!$E:$E,"JAリスト")=0,"",MAXIFS(加電履歴!$B:$B,加電履歴!$F:$F,A14,加電履歴!$E:$E,"JAリスト")),"")</f>
        <v/>
      </c>
      <c r="AQ14">
        <f>IFERROR(IF(COUNTIFS(加電履歴!$F:$F,A14,加電履歴!$E:$E,"JAリスト")=0,"",INDEX(加電履歴!$I:$I,MATCH(1,(加電履歴!$F:$F=A14)*(加電履歴!$E:$E="JAリスト")*(加電履歴!$B:$B=MAXIFS(加電履歴!$B:$B,加電履歴!$F:$F,A14,加電履歴!$E:$E,"JAリスト")),0))),"")</f>
        <v/>
      </c>
    </row>
    <row r="15" ht="12.5" customHeight="1">
      <c r="A15" s="13" t="inlineStr">
        <is>
          <t>JAきょうわ</t>
        </is>
      </c>
      <c r="B15" s="12" t="inlineStr">
        <is>
          <t>https://www.ja-kyouwa.jp/</t>
        </is>
      </c>
      <c r="C15" s="13" t="inlineStr">
        <is>
          <t>北海道岩内郡共和町前田167 (〒048-2201)</t>
        </is>
      </c>
      <c r="D15" s="13" t="inlineStr">
        <is>
          <t>0135-73-2121</t>
        </is>
      </c>
      <c r="E15" s="1" t="inlineStr">
        <is>
          <t>らいでんメロン、スイカ、米。</t>
        </is>
      </c>
      <c r="F15" s="1" t="inlineStr">
        <is>
          <t>ブランドフルーツの品質を維持するための、丁寧な管理作業の担い手不足。</t>
        </is>
      </c>
      <c r="G15" s="1" t="inlineStr">
        <is>
          <t>手厚い生活サポートと日本語教育により、地域に馴染み責任感を持って働く人材を約束。</t>
        </is>
      </c>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c r="AG15" s="1" t="inlineStr">
        <is>
          <t>BREXA CrossBorder</t>
        </is>
      </c>
      <c r="AH15" s="1" t="inlineStr">
        <is>
          <t>武田 悦郎</t>
        </is>
      </c>
      <c r="AI15" s="1" t="n"/>
      <c r="AJ15" s="1" t="n"/>
      <c r="AK15" s="1" t="n"/>
      <c r="AL15" s="1" t="n"/>
      <c r="AM15" s="1" t="n"/>
      <c r="AN15" s="1" t="n"/>
      <c r="AO15">
        <f>COUNTIFS(加電履歴!$F:$F,A15,加電履歴!$E:$E,"JAリスト")</f>
        <v/>
      </c>
      <c r="AP15" s="10">
        <f>IFERROR(IF(COUNTIFS(加電履歴!$F:$F,A15,加電履歴!$E:$E,"JAリスト")=0,"",MAXIFS(加電履歴!$B:$B,加電履歴!$F:$F,A15,加電履歴!$E:$E,"JAリスト")),"")</f>
        <v/>
      </c>
      <c r="AQ15">
        <f>IFERROR(IF(COUNTIFS(加電履歴!$F:$F,A15,加電履歴!$E:$E,"JAリスト")=0,"",INDEX(加電履歴!$I:$I,MATCH(1,(加電履歴!$F:$F=A15)*(加電履歴!$E:$E="JAリスト")*(加電履歴!$B:$B=MAXIFS(加電履歴!$B:$B,加電履歴!$F:$F,A15,加電履歴!$E:$E,"JAリスト")),0))),"")</f>
        <v/>
      </c>
    </row>
    <row r="16" ht="12.5" customHeight="1">
      <c r="A16" s="13" t="inlineStr">
        <is>
          <t>JA新おたる</t>
        </is>
      </c>
      <c r="B16" s="12" t="inlineStr">
        <is>
          <t>https://ja-sinotaru.jp/</t>
        </is>
      </c>
      <c r="C16" s="13" t="inlineStr">
        <is>
          <t>北海道余市郡仁木町北町3丁目4番地 (〒048-2493)</t>
        </is>
      </c>
      <c r="D16" s="13" t="inlineStr">
        <is>
          <t>0135-32-2428</t>
        </is>
      </c>
      <c r="E16" s="1" t="inlineStr">
        <is>
          <t>さくらんぼ、ぶどう、トマト。</t>
        </is>
      </c>
      <c r="F16" s="1" t="inlineStr">
        <is>
          <t>観光農園としての側面もあり、接客や直売所対応ができる人材が必要。</t>
        </is>
      </c>
      <c r="G16" s="1" t="inlineStr">
        <is>
          <t>語学教育のバックグラウンドを活かし、日本語コミュニケーションが可能な人材のスクリーニングを提案。</t>
        </is>
      </c>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inlineStr">
        <is>
          <t>BREXA CrossBorder</t>
        </is>
      </c>
      <c r="AH16" s="1" t="inlineStr">
        <is>
          <t>武田 悦郎</t>
        </is>
      </c>
      <c r="AI16" s="1" t="n"/>
      <c r="AJ16" s="1" t="n"/>
      <c r="AK16" s="1" t="n"/>
      <c r="AL16" s="1" t="n"/>
      <c r="AM16" s="1" t="n"/>
      <c r="AN16" s="1" t="n"/>
      <c r="AO16">
        <f>COUNTIFS(加電履歴!$F:$F,A16,加電履歴!$E:$E,"JAリスト")</f>
        <v/>
      </c>
      <c r="AP16" s="10">
        <f>IFERROR(IF(COUNTIFS(加電履歴!$F:$F,A16,加電履歴!$E:$E,"JAリスト")=0,"",MAXIFS(加電履歴!$B:$B,加電履歴!$F:$F,A16,加電履歴!$E:$E,"JAリスト")),"")</f>
        <v/>
      </c>
      <c r="AQ16">
        <f>IFERROR(IF(COUNTIFS(加電履歴!$F:$F,A16,加電履歴!$E:$E,"JAリスト")=0,"",INDEX(加電履歴!$I:$I,MATCH(1,(加電履歴!$F:$F=A16)*(加電履歴!$E:$E="JAリスト")*(加電履歴!$B:$B=MAXIFS(加電履歴!$B:$B,加電履歴!$F:$F,A16,加電履歴!$E:$E,"JAリスト")),0))),"")</f>
        <v/>
      </c>
    </row>
    <row r="17" ht="12.5" customHeight="1">
      <c r="A17" s="13" t="inlineStr">
        <is>
          <t>JAたいせつ</t>
        </is>
      </c>
      <c r="B17" s="12" t="inlineStr">
        <is>
          <t>http://www.jataisetu.or.jp/</t>
        </is>
      </c>
      <c r="C17" s="13" t="inlineStr">
        <is>
          <t>北海道旭川市東鷹栖1条3-635-58 (〒071-8101)</t>
        </is>
      </c>
      <c r="D17" s="13" t="inlineStr">
        <is>
          <t>0166-57-2345</t>
        </is>
      </c>
      <c r="E17" s="1" t="inlineStr">
        <is>
          <t>米、大豆、野菜全般。広大な水田地帯。</t>
        </is>
      </c>
      <c r="F17" s="1" t="inlineStr">
        <is>
          <t>雇用型農業への転換期にあり、労務管理のノウハウ不足。</t>
        </is>
      </c>
      <c r="G17" s="1" t="inlineStr">
        <is>
          <t>人材紹介にとどまらず、入国後の労務・生活・語学サポートを一元管理できる安心感をアピール。</t>
        </is>
      </c>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c r="AE17" s="1" t="n"/>
      <c r="AF17" s="1" t="n"/>
      <c r="AG17" s="1" t="inlineStr">
        <is>
          <t>BREXA CrossBorder</t>
        </is>
      </c>
      <c r="AH17" s="1" t="inlineStr">
        <is>
          <t>武田 悦郎</t>
        </is>
      </c>
      <c r="AI17" s="1" t="n"/>
      <c r="AJ17" s="1" t="n"/>
      <c r="AK17" s="1" t="n"/>
      <c r="AL17" s="1" t="n"/>
      <c r="AM17" s="1" t="n"/>
      <c r="AN17" s="1" t="n"/>
      <c r="AO17">
        <f>COUNTIFS(加電履歴!$F:$F,A17,加電履歴!$E:$E,"JAリスト")</f>
        <v/>
      </c>
      <c r="AP17" s="10">
        <f>IFERROR(IF(COUNTIFS(加電履歴!$F:$F,A17,加電履歴!$E:$E,"JAリスト")=0,"",MAXIFS(加電履歴!$B:$B,加電履歴!$F:$F,A17,加電履歴!$E:$E,"JAリスト")),"")</f>
        <v/>
      </c>
      <c r="AQ17">
        <f>IFERROR(IF(COUNTIFS(加電履歴!$F:$F,A17,加電履歴!$E:$E,"JAリスト")=0,"",INDEX(加電履歴!$I:$I,MATCH(1,(加電履歴!$F:$F=A17)*(加電履歴!$E:$E="JAリスト")*(加電履歴!$B:$B=MAXIFS(加電履歴!$B:$B,加電履歴!$F:$F,A17,加電履歴!$E:$E,"JAリスト")),0))),"")</f>
        <v/>
      </c>
    </row>
    <row r="18" ht="12.5" customHeight="1">
      <c r="A18" s="13" t="inlineStr">
        <is>
          <t>JA東神楽</t>
        </is>
      </c>
      <c r="B18" s="12" t="inlineStr">
        <is>
          <t>https://www.ja-higashikagura.com/</t>
        </is>
      </c>
      <c r="C18" s="13" t="inlineStr">
        <is>
          <t>北海道上川郡東神楽町</t>
        </is>
      </c>
      <c r="D18" s="13" t="inlineStr">
        <is>
          <t>0166-83-2321 (本所代表) / 0166-83-2322 (金融課)</t>
        </is>
      </c>
      <c r="E18" s="1" t="inlineStr">
        <is>
          <t>米、アスパラガス、ほうれん草。</t>
        </is>
      </c>
      <c r="F18" s="1" t="inlineStr">
        <is>
          <t>都市化が進む一方、農地維持のための労働力が不足。</t>
        </is>
      </c>
      <c r="G18" s="1" t="inlineStr">
        <is>
          <t>完全成果報酬で導入リスクを抑えつつ、都市部へのアクセスの良さを活かした定着率をアピール。</t>
        </is>
      </c>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inlineStr">
        <is>
          <t>BREXA CrossBorder</t>
        </is>
      </c>
      <c r="AH18" s="1" t="inlineStr">
        <is>
          <t>武田 悦郎</t>
        </is>
      </c>
      <c r="AI18" s="1" t="n"/>
      <c r="AJ18" s="1" t="n"/>
      <c r="AK18" s="1" t="n"/>
      <c r="AL18" s="1" t="n"/>
      <c r="AM18" s="1" t="n"/>
      <c r="AN18" s="1" t="n"/>
      <c r="AO18">
        <f>COUNTIFS(加電履歴!$F:$F,A18,加電履歴!$E:$E,"JAリスト")</f>
        <v/>
      </c>
      <c r="AP18" s="10">
        <f>IFERROR(IF(COUNTIFS(加電履歴!$F:$F,A18,加電履歴!$E:$E,"JAリスト")=0,"",MAXIFS(加電履歴!$B:$B,加電履歴!$F:$F,A18,加電履歴!$E:$E,"JAリスト")),"")</f>
        <v/>
      </c>
      <c r="AQ18">
        <f>IFERROR(IF(COUNTIFS(加電履歴!$F:$F,A18,加電履歴!$E:$E,"JAリスト")=0,"",INDEX(加電履歴!$I:$I,MATCH(1,(加電履歴!$F:$F=A18)*(加電履歴!$E:$E="JAリスト")*(加電履歴!$B:$B=MAXIFS(加電履歴!$B:$B,加電履歴!$F:$F,A18,加電履歴!$E:$E,"JAリスト")),0))),"")</f>
        <v/>
      </c>
    </row>
    <row r="19" ht="12.5" customHeight="1">
      <c r="A19" s="13" t="inlineStr">
        <is>
          <t>JAひがしかわ</t>
        </is>
      </c>
      <c r="B19" s="12" t="inlineStr">
        <is>
          <t>https://www.ja-higashikawa.or.jp/</t>
        </is>
      </c>
      <c r="C19" s="13" t="inlineStr">
        <is>
          <t>北海道上川郡東川町西町1丁目5番1号 (〒071-1495)</t>
        </is>
      </c>
      <c r="D19" s="13" t="inlineStr">
        <is>
          <t>0166-82-5010</t>
        </is>
      </c>
      <c r="E19" s="1" t="inlineStr">
        <is>
          <t>東川米、大雪山の伏流水を活かした野菜。</t>
        </is>
      </c>
      <c r="F19" s="1" t="inlineStr">
        <is>
          <t>国際交流が盛んであり、外国人材に対する心理的ハードルが低い可能性。</t>
        </is>
      </c>
      <c r="G19" s="1" t="inlineStr">
        <is>
          <t>地域の国際化方針に寄り添い、異文化理解講座や日本語教育をセットにした地域共生型人材提案。</t>
        </is>
      </c>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inlineStr">
        <is>
          <t>BREXA CrossBorder</t>
        </is>
      </c>
      <c r="AH19" s="1" t="inlineStr">
        <is>
          <t>武田 悦郎</t>
        </is>
      </c>
      <c r="AI19" s="1" t="n"/>
      <c r="AJ19" s="1" t="n"/>
      <c r="AK19" s="1" t="n"/>
      <c r="AL19" s="1" t="n"/>
      <c r="AM19" s="1" t="n"/>
      <c r="AN19" s="1" t="n"/>
      <c r="AO19">
        <f>COUNTIFS(加電履歴!$F:$F,A19,加電履歴!$E:$E,"JAリスト")</f>
        <v/>
      </c>
      <c r="AP19" s="10">
        <f>IFERROR(IF(COUNTIFS(加電履歴!$F:$F,A19,加電履歴!$E:$E,"JAリスト")=0,"",MAXIFS(加電履歴!$B:$B,加電履歴!$F:$F,A19,加電履歴!$E:$E,"JAリスト")),"")</f>
        <v/>
      </c>
      <c r="AQ19">
        <f>IFERROR(IF(COUNTIFS(加電履歴!$F:$F,A19,加電履歴!$E:$E,"JAリスト")=0,"",INDEX(加電履歴!$I:$I,MATCH(1,(加電履歴!$F:$F=A19)*(加電履歴!$E:$E="JAリスト")*(加電履歴!$B:$B=MAXIFS(加電履歴!$B:$B,加電履歴!$F:$F,A19,加電履歴!$E:$E,"JAリスト")),0))),"")</f>
        <v/>
      </c>
    </row>
    <row r="20" ht="12.5" customHeight="1">
      <c r="A20" s="13" t="inlineStr">
        <is>
          <t>JA当麻</t>
        </is>
      </c>
      <c r="B20" s="12" t="inlineStr">
        <is>
          <t>https://ja-tohma.com/</t>
        </is>
      </c>
      <c r="C20" s="13" t="inlineStr">
        <is>
          <t>北海道上川郡当麻町4条東3丁目4番63号 (〒078-1314)</t>
        </is>
      </c>
      <c r="D20" s="13" t="inlineStr">
        <is>
          <t>0166-84-2121</t>
        </is>
      </c>
      <c r="E20" s="1" t="inlineStr">
        <is>
          <t>でんすけすいか、米、きゅうり。</t>
        </is>
      </c>
      <c r="F20" s="1" t="inlineStr">
        <is>
          <t>ブランドすいかの栽培管理や出荷作業における、丁寧で確実な作業が求められる。</t>
        </is>
      </c>
      <c r="G20" s="1" t="inlineStr">
        <is>
          <t>コミュニケーションエラーを防ぐための独自の語学研修プログラムを強調し、高品質な労働力を提供。</t>
        </is>
      </c>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inlineStr">
        <is>
          <t>BREXA CrossBorder</t>
        </is>
      </c>
      <c r="AH20" s="1" t="inlineStr">
        <is>
          <t>武田 悦郎</t>
        </is>
      </c>
      <c r="AI20" s="1" t="n"/>
      <c r="AJ20" s="1" t="n"/>
      <c r="AK20" s="1" t="n"/>
      <c r="AL20" s="1" t="n"/>
      <c r="AM20" s="1" t="n"/>
      <c r="AN20" s="1" t="n"/>
      <c r="AO20">
        <f>COUNTIFS(加電履歴!$F:$F,A20,加電履歴!$E:$E,"JAリスト")</f>
        <v/>
      </c>
      <c r="AP20" s="10">
        <f>IFERROR(IF(COUNTIFS(加電履歴!$F:$F,A20,加電履歴!$E:$E,"JAリスト")=0,"",MAXIFS(加電履歴!$B:$B,加電履歴!$F:$F,A20,加電履歴!$E:$E,"JAリスト")),"")</f>
        <v/>
      </c>
      <c r="AQ20">
        <f>IFERROR(IF(COUNTIFS(加電履歴!$F:$F,A20,加電履歴!$E:$E,"JAリスト")=0,"",INDEX(加電履歴!$I:$I,MATCH(1,(加電履歴!$F:$F=A20)*(加電履歴!$E:$E="JAリスト")*(加電履歴!$B:$B=MAXIFS(加電履歴!$B:$B,加電履歴!$F:$F,A20,加電履歴!$E:$E,"JAリスト")),0))),"")</f>
        <v/>
      </c>
    </row>
    <row r="21" ht="12.5" customHeight="1">
      <c r="A21" s="13" t="inlineStr">
        <is>
          <t>JA上川中央</t>
        </is>
      </c>
      <c r="B21" s="12" t="inlineStr">
        <is>
          <t>http://www.ja-kamikawa.or.jp/</t>
        </is>
      </c>
      <c r="C21" s="13" t="inlineStr">
        <is>
          <t>北海道上川郡愛別町字本町125番地 (〒078-1495)</t>
        </is>
      </c>
      <c r="D21" s="13" t="inlineStr">
        <is>
          <t>01658-6-5311 (代表) / 01658-6-5312 (金融部)</t>
        </is>
      </c>
      <c r="E21" s="1" t="inlineStr">
        <is>
          <t>きのこ（えのき、まいたけ等）、米。</t>
        </is>
      </c>
      <c r="F21" s="1" t="inlineStr">
        <is>
          <t>きのこ栽培は屋内での通年作業であり、安定した雇用環境があるため定着しやすい。</t>
        </is>
      </c>
      <c r="G21" s="1" t="inlineStr">
        <is>
          <t>通年雇用ができる強みを活かし、特定技能の長期受け入れと補助金連動の無リスク導入を提案。</t>
        </is>
      </c>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inlineStr">
        <is>
          <t>BREXA CrossBorder</t>
        </is>
      </c>
      <c r="AH21" s="1" t="inlineStr">
        <is>
          <t>武田 悦郎</t>
        </is>
      </c>
      <c r="AI21" s="1" t="n"/>
      <c r="AJ21" s="1" t="n"/>
      <c r="AK21" s="1" t="n"/>
      <c r="AL21" s="1" t="n"/>
      <c r="AM21" s="1" t="n"/>
      <c r="AN21" s="1" t="n"/>
      <c r="AO21">
        <f>COUNTIFS(加電履歴!$F:$F,A21,加電履歴!$E:$E,"JAリスト")</f>
        <v/>
      </c>
      <c r="AP21" s="10">
        <f>IFERROR(IF(COUNTIFS(加電履歴!$F:$F,A21,加電履歴!$E:$E,"JAリスト")=0,"",MAXIFS(加電履歴!$B:$B,加電履歴!$F:$F,A21,加電履歴!$E:$E,"JAリスト")),"")</f>
        <v/>
      </c>
      <c r="AQ21">
        <f>IFERROR(IF(COUNTIFS(加電履歴!$F:$F,A21,加電履歴!$E:$E,"JAリスト")=0,"",INDEX(加電履歴!$I:$I,MATCH(1,(加電履歴!$F:$F=A21)*(加電履歴!$E:$E="JAリスト")*(加電履歴!$B:$B=MAXIFS(加電履歴!$B:$B,加電履歴!$F:$F,A21,加電履歴!$E:$E,"JAリスト")),0))),"")</f>
        <v/>
      </c>
    </row>
    <row r="22" ht="12.5" customHeight="1">
      <c r="A22" s="13" t="inlineStr">
        <is>
          <t>JAぴっぷ町</t>
        </is>
      </c>
      <c r="B22" s="12" t="inlineStr">
        <is>
          <t>https://www.ja-pippu.or.jp/</t>
        </is>
      </c>
      <c r="C22" s="13" t="inlineStr">
        <is>
          <t>北海道上川郡比布町西町3-5-14</t>
        </is>
      </c>
      <c r="D22" s="13" t="inlineStr">
        <is>
          <t>0166-85-2121 ※公式サイトで再確認推奨</t>
        </is>
      </c>
      <c r="E22" s="1" t="inlineStr">
        <is>
          <t>いちご、米、千本ねぎ。</t>
        </is>
      </c>
      <c r="F22" s="1" t="inlineStr">
        <is>
          <t>いちご収穫など、腰をかがめる手作業が多く若手人材が急務。</t>
        </is>
      </c>
      <c r="G22" s="1" t="inlineStr">
        <is>
          <t>補助金採択を前提とした完全成果報酬を提示し、まずは小規模な農家からのテスト受け入れを打診。</t>
        </is>
      </c>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inlineStr">
        <is>
          <t>BREXA CrossBorder</t>
        </is>
      </c>
      <c r="AH22" s="1" t="inlineStr">
        <is>
          <t>武田 悦郎</t>
        </is>
      </c>
      <c r="AI22" s="1" t="n"/>
      <c r="AJ22" s="1" t="n"/>
      <c r="AK22" s="1" t="n"/>
      <c r="AL22" s="1" t="n"/>
      <c r="AM22" s="1" t="n"/>
      <c r="AN22" s="1" t="n"/>
      <c r="AO22">
        <f>COUNTIFS(加電履歴!$F:$F,A22,加電履歴!$E:$E,"JAリスト")</f>
        <v/>
      </c>
      <c r="AP22" s="10">
        <f>IFERROR(IF(COUNTIFS(加電履歴!$F:$F,A22,加電履歴!$E:$E,"JAリスト")=0,"",MAXIFS(加電履歴!$B:$B,加電履歴!$F:$F,A22,加電履歴!$E:$E,"JAリスト")),"")</f>
        <v/>
      </c>
      <c r="AQ22">
        <f>IFERROR(IF(COUNTIFS(加電履歴!$F:$F,A22,加電履歴!$E:$E,"JAリスト")=0,"",INDEX(加電履歴!$I:$I,MATCH(1,(加電履歴!$F:$F=A22)*(加電履歴!$E:$E="JAリスト")*(加電履歴!$B:$B=MAXIFS(加電履歴!$B:$B,加電履歴!$F:$F,A22,加電履歴!$E:$E,"JAリスト")),0))),"")</f>
        <v/>
      </c>
    </row>
    <row r="23" ht="12.5" customHeight="1">
      <c r="A23" s="1" t="inlineStr">
        <is>
          <t>JA北ひびき</t>
        </is>
      </c>
      <c r="C23" s="1" t="inlineStr">
        <is>
          <t>士別市</t>
        </is>
      </c>
      <c r="D23" s="1" t="inlineStr">
        <is>
          <t>0165-23-2179</t>
        </is>
      </c>
      <c r="E23" s="1" t="inlineStr">
        <is>
          <t>アスパラガス、メロン、ビート、小麦。</t>
        </is>
      </c>
      <c r="F23" s="1" t="inlineStr">
        <is>
          <t>作付面積の拡大に伴い、機械操作補助や収穫・運搬の担い手が不足。</t>
        </is>
      </c>
      <c r="G23" s="1" t="inlineStr">
        <is>
          <t>語学教育と人材紹介のセット提案により、機械操作の安全指導がスムーズに行える点をアピール。</t>
        </is>
      </c>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inlineStr">
        <is>
          <t>BREXA CrossBorder</t>
        </is>
      </c>
      <c r="AH23" s="1" t="inlineStr">
        <is>
          <t>武田 悦郎</t>
        </is>
      </c>
      <c r="AI23" s="1" t="n"/>
      <c r="AJ23" s="1" t="n"/>
      <c r="AK23" s="1" t="n"/>
      <c r="AL23" s="1" t="n"/>
      <c r="AM23" s="1" t="n"/>
      <c r="AN23" s="1" t="n"/>
      <c r="AO23">
        <f>COUNTIFS(加電履歴!$F:$F,A23,加電履歴!$E:$E,"JAリスト")</f>
        <v/>
      </c>
      <c r="AP23" s="10">
        <f>IFERROR(IF(COUNTIFS(加電履歴!$F:$F,A23,加電履歴!$E:$E,"JAリスト")=0,"",MAXIFS(加電履歴!$B:$B,加電履歴!$F:$F,A23,加電履歴!$E:$E,"JAリスト")),"")</f>
        <v/>
      </c>
      <c r="AQ23">
        <f>IFERROR(IF(COUNTIFS(加電履歴!$F:$F,A23,加電履歴!$E:$E,"JAリスト")=0,"",INDEX(加電履歴!$I:$I,MATCH(1,(加電履歴!$F:$F=A23)*(加電履歴!$E:$E="JAリスト")*(加電履歴!$B:$B=MAXIFS(加電履歴!$B:$B,加電履歴!$F:$F,A23,加電履歴!$E:$E,"JAリスト")),0))),"")</f>
        <v/>
      </c>
    </row>
    <row r="24" ht="12.5" customHeight="1">
      <c r="A24" s="13" t="inlineStr">
        <is>
          <t>JA道北なよろ (旧JA名寄)</t>
        </is>
      </c>
      <c r="B24" s="12" t="inlineStr">
        <is>
          <t>https://www.ja-douhokunayoro.or.jp/</t>
        </is>
      </c>
      <c r="C24" s="13" t="inlineStr">
        <is>
          <t>北海道名寄市大通南4丁目10番地1 ※本所</t>
        </is>
      </c>
      <c r="D24" s="13" t="inlineStr">
        <is>
          <t>01654-2-4531</t>
        </is>
      </c>
      <c r="E24" s="1" t="inlineStr">
        <is>
          <t>もち米（作付面積日本一）、アスパラ。</t>
        </is>
      </c>
      <c r="F24" s="1" t="inlineStr">
        <is>
          <t>オペレーター補助や、アスパラの早朝収穫の担い手不足。</t>
        </is>
      </c>
      <c r="G24" s="1" t="inlineStr">
        <is>
          <t>朝早くからの作業にも対応できる人材紹介と、手厚いメンタル・生活サポート体制を強調。</t>
        </is>
      </c>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inlineStr">
        <is>
          <t>BREXA CrossBorder</t>
        </is>
      </c>
      <c r="AH24" s="1" t="inlineStr">
        <is>
          <t>武田 悦郎</t>
        </is>
      </c>
      <c r="AI24" s="1" t="n"/>
      <c r="AJ24" s="1" t="n"/>
      <c r="AK24" s="1" t="n"/>
      <c r="AL24" s="1" t="n"/>
      <c r="AM24" s="1" t="n"/>
      <c r="AN24" s="1" t="n"/>
      <c r="AO24">
        <f>COUNTIFS(加電履歴!$F:$F,A24,加電履歴!$E:$E,"JAリスト")</f>
        <v/>
      </c>
      <c r="AP24" s="10">
        <f>IFERROR(IF(COUNTIFS(加電履歴!$F:$F,A24,加電履歴!$E:$E,"JAリスト")=0,"",MAXIFS(加電履歴!$B:$B,加電履歴!$F:$F,A24,加電履歴!$E:$E,"JAリスト")),"")</f>
        <v/>
      </c>
      <c r="AQ24">
        <f>IFERROR(IF(COUNTIFS(加電履歴!$F:$F,A24,加電履歴!$E:$E,"JAリスト")=0,"",INDEX(加電履歴!$I:$I,MATCH(1,(加電履歴!$F:$F=A24)*(加電履歴!$E:$E="JAリスト")*(加電履歴!$B:$B=MAXIFS(加電履歴!$B:$B,加電履歴!$F:$F,A24,加電履歴!$E:$E,"JAリスト")),0))),"")</f>
        <v/>
      </c>
    </row>
    <row r="25" ht="12.5" customHeight="1">
      <c r="A25" s="13" t="inlineStr">
        <is>
          <t>JA南るもい ※令和3年JAるもいへ合併・現存せず</t>
        </is>
      </c>
      <c r="B25" s="14" t="inlineStr"/>
      <c r="C25" s="13" t="inlineStr">
        <is>
          <t>※統合: JAるもい本所(羽幌町)。連絡先はJAるもい(0164-62-1212系) ※要確認</t>
        </is>
      </c>
      <c r="D25" s="13" t="inlineStr">
        <is>
          <t>※存続: JAるもい</t>
        </is>
      </c>
      <c r="E25" s="1" t="inlineStr">
        <is>
          <t>米、メロン、カボチャ。</t>
        </is>
      </c>
      <c r="F25" s="1" t="inlineStr">
        <is>
          <t>気候を活かした農業だが、過疎化により働き手の絶対数が不足。</t>
        </is>
      </c>
      <c r="G25" s="1" t="inlineStr">
        <is>
          <t>補助金活用により採用コストを圧縮し、過疎地域でも定着を図れるフォロー体制（語学支援等）を提案。</t>
        </is>
      </c>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inlineStr">
        <is>
          <t>BREXA CrossBorder</t>
        </is>
      </c>
      <c r="AH25" s="1" t="inlineStr">
        <is>
          <t>武田 悦郎</t>
        </is>
      </c>
      <c r="AI25" s="1" t="n"/>
      <c r="AJ25" s="1" t="n"/>
      <c r="AK25" s="1" t="n"/>
      <c r="AL25" s="1" t="n"/>
      <c r="AM25" s="1" t="n"/>
      <c r="AN25" s="1" t="n"/>
      <c r="AO25">
        <f>COUNTIFS(加電履歴!$F:$F,A25,加電履歴!$E:$E,"JAリスト")</f>
        <v/>
      </c>
      <c r="AP25" s="10">
        <f>IFERROR(IF(COUNTIFS(加電履歴!$F:$F,A25,加電履歴!$E:$E,"JAリスト")=0,"",MAXIFS(加電履歴!$B:$B,加電履歴!$F:$F,A25,加電履歴!$E:$E,"JAリスト")),"")</f>
        <v/>
      </c>
      <c r="AQ25">
        <f>IFERROR(IF(COUNTIFS(加電履歴!$F:$F,A25,加電履歴!$E:$E,"JAリスト")=0,"",INDEX(加電履歴!$I:$I,MATCH(1,(加電履歴!$F:$F=A25)*(加電履歴!$E:$E="JAリスト")*(加電履歴!$B:$B=MAXIFS(加電履歴!$B:$B,加電履歴!$F:$F,A25,加電履歴!$E:$E,"JAリスト")),0))),"")</f>
        <v/>
      </c>
    </row>
    <row r="26" ht="12.5" customHeight="1">
      <c r="A26" s="13" t="inlineStr">
        <is>
          <t>JAオロロン ※令和3年JAるもいへ合併・現存せず</t>
        </is>
      </c>
      <c r="B26" s="14" t="inlineStr"/>
      <c r="C26" s="13" t="inlineStr">
        <is>
          <t>※統合: JAるもい本所(羽幌町)。羽幌町字南町7-29(JAるもい本所と同位置の可能性)</t>
        </is>
      </c>
      <c r="D26" s="13" t="inlineStr">
        <is>
          <t>※存続: JAるもい</t>
        </is>
      </c>
      <c r="E26" s="1" t="inlineStr">
        <is>
          <t>米、アスパラガス、オロロンメロン。</t>
        </is>
      </c>
      <c r="F26" s="1" t="inlineStr">
        <is>
          <t>沿岸部であり、水産業との複合的な労働力確保のニーズも存在。</t>
        </is>
      </c>
      <c r="G26" s="1" t="inlineStr">
        <is>
          <t>農業だけでなく、地域のニーズに合わせて柔軟に特定技能（飲食料品製造等）の提案枠を広げる。</t>
        </is>
      </c>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inlineStr">
        <is>
          <t>BREXA CrossBorder</t>
        </is>
      </c>
      <c r="AH26" s="1" t="inlineStr">
        <is>
          <t>武田 悦郎</t>
        </is>
      </c>
      <c r="AI26" s="1" t="n"/>
      <c r="AJ26" s="1" t="n"/>
      <c r="AK26" s="1" t="n"/>
      <c r="AL26" s="1" t="n"/>
      <c r="AM26" s="1" t="n"/>
      <c r="AN26" s="1" t="n"/>
      <c r="AO26">
        <f>COUNTIFS(加電履歴!$F:$F,A26,加電履歴!$E:$E,"JAリスト")</f>
        <v/>
      </c>
      <c r="AP26" s="10">
        <f>IFERROR(IF(COUNTIFS(加電履歴!$F:$F,A26,加電履歴!$E:$E,"JAリスト")=0,"",MAXIFS(加電履歴!$B:$B,加電履歴!$F:$F,A26,加電履歴!$E:$E,"JAリスト")),"")</f>
        <v/>
      </c>
      <c r="AQ26">
        <f>IFERROR(IF(COUNTIFS(加電履歴!$F:$F,A26,加電履歴!$E:$E,"JAリスト")=0,"",INDEX(加電履歴!$I:$I,MATCH(1,(加電履歴!$F:$F=A26)*(加電履歴!$E:$E="JAリスト")*(加電履歴!$B:$B=MAXIFS(加電履歴!$B:$B,加電履歴!$F:$F,A26,加電履歴!$E:$E,"JAリスト")),0))),"")</f>
        <v/>
      </c>
    </row>
    <row r="27" ht="12.5" customHeight="1">
      <c r="A27" s="13" t="inlineStr">
        <is>
          <t>JA北宗谷</t>
        </is>
      </c>
      <c r="B27" s="12" t="inlineStr">
        <is>
          <t>https://ja-kitasouya.jp/</t>
        </is>
      </c>
      <c r="C27" s="13" t="inlineStr">
        <is>
          <t>北海道天塩郡豊富町</t>
        </is>
      </c>
      <c r="D27" s="13" t="inlineStr">
        <is>
          <t>0162-82-2112</t>
        </is>
      </c>
      <c r="E27" s="1" t="inlineStr">
        <is>
          <t>広大な牧草地での大規模酪農。</t>
        </is>
      </c>
      <c r="F27" s="1" t="inlineStr">
        <is>
          <t>年中無休の搾乳作業や清掃など、特有の過酷な労働環境による人手不足。</t>
        </is>
      </c>
      <c r="G27" s="1" t="inlineStr">
        <is>
          <t>酪農特化の特定技能紹介と、初期投資ゼロ（完全成果報酬）による経営圧迫の回避を提案。</t>
        </is>
      </c>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inlineStr">
        <is>
          <t>BREXA CrossBorder</t>
        </is>
      </c>
      <c r="AH27" s="1" t="inlineStr">
        <is>
          <t>武田 悦郎</t>
        </is>
      </c>
      <c r="AI27" s="1" t="n"/>
      <c r="AJ27" s="1" t="n"/>
      <c r="AK27" s="1" t="n"/>
      <c r="AL27" s="1" t="n"/>
      <c r="AM27" s="1" t="n"/>
      <c r="AN27" s="1" t="n"/>
      <c r="AO27">
        <f>COUNTIFS(加電履歴!$F:$F,A27,加電履歴!$E:$E,"JAリスト")</f>
        <v/>
      </c>
      <c r="AP27" s="10">
        <f>IFERROR(IF(COUNTIFS(加電履歴!$F:$F,A27,加電履歴!$E:$E,"JAリスト")=0,"",MAXIFS(加電履歴!$B:$B,加電履歴!$F:$F,A27,加電履歴!$E:$E,"JAリスト")),"")</f>
        <v/>
      </c>
      <c r="AQ27">
        <f>IFERROR(IF(COUNTIFS(加電履歴!$F:$F,A27,加電履歴!$E:$E,"JAリスト")=0,"",INDEX(加電履歴!$I:$I,MATCH(1,(加電履歴!$F:$F=A27)*(加電履歴!$E:$E="JAリスト")*(加電履歴!$B:$B=MAXIFS(加電履歴!$B:$B,加電履歴!$F:$F,A27,加電履歴!$E:$E,"JAリスト")),0))),"")</f>
        <v/>
      </c>
    </row>
    <row r="28" ht="12.5" customHeight="1">
      <c r="A28" s="13" t="inlineStr">
        <is>
          <t>JA宗谷南</t>
        </is>
      </c>
      <c r="B28" s="12" t="inlineStr">
        <is>
          <t>http://ja-souyaminami.or.jp/</t>
        </is>
      </c>
      <c r="C28" s="13" t="inlineStr">
        <is>
          <t>北海道枝幸郡枝幸町幸町8121-3 (〒098-5805)</t>
        </is>
      </c>
      <c r="D28" s="13" t="inlineStr">
        <is>
          <t>0163-62-1711</t>
        </is>
      </c>
      <c r="E28" s="1" t="inlineStr">
        <is>
          <t>酪農、肉牛飼育。</t>
        </is>
      </c>
      <c r="F28" s="1" t="inlineStr">
        <is>
          <t>冬季の厳しい気象条件の中での作業となるため、人材のケアが最大の課題。</t>
        </is>
      </c>
      <c r="G28" s="1" t="inlineStr">
        <is>
          <t>入国前のオリエンテーション（雪国での生活指導）や、定期的な日本語でのメンタルケアをアピール。</t>
        </is>
      </c>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inlineStr">
        <is>
          <t>BREXA CrossBorder</t>
        </is>
      </c>
      <c r="AH28" s="1" t="inlineStr">
        <is>
          <t>武田 悦郎</t>
        </is>
      </c>
      <c r="AI28" s="1" t="n"/>
      <c r="AJ28" s="1" t="n"/>
      <c r="AK28" s="1" t="n"/>
      <c r="AL28" s="1" t="n"/>
      <c r="AM28" s="1" t="n"/>
      <c r="AN28" s="1" t="n"/>
      <c r="AO28">
        <f>COUNTIFS(加電履歴!$F:$F,A28,加電履歴!$E:$E,"JAリスト")</f>
        <v/>
      </c>
      <c r="AP28" s="10">
        <f>IFERROR(IF(COUNTIFS(加電履歴!$F:$F,A28,加電履歴!$E:$E,"JAリスト")=0,"",MAXIFS(加電履歴!$B:$B,加電履歴!$F:$F,A28,加電履歴!$E:$E,"JAリスト")),"")</f>
        <v/>
      </c>
      <c r="AQ28">
        <f>IFERROR(IF(COUNTIFS(加電履歴!$F:$F,A28,加電履歴!$E:$E,"JAリスト")=0,"",INDEX(加電履歴!$I:$I,MATCH(1,(加電履歴!$F:$F=A28)*(加電履歴!$E:$E="JAリスト")*(加電履歴!$B:$B=MAXIFS(加電履歴!$B:$B,加電履歴!$F:$F,A28,加電履歴!$E:$E,"JAリスト")),0))),"")</f>
        <v/>
      </c>
    </row>
    <row r="29" ht="12.5" customHeight="1">
      <c r="A29" s="13" t="inlineStr">
        <is>
          <t>JAひがし宗谷 (東宗谷農業協同組合)</t>
        </is>
      </c>
      <c r="B29" s="12" t="inlineStr">
        <is>
          <t>https://www.ja-esoya.com/</t>
        </is>
      </c>
      <c r="C29" s="13" t="inlineStr">
        <is>
          <t>北海道枝幸郡浜頓別町南3条1丁目25番地</t>
        </is>
      </c>
      <c r="D29" s="13" t="inlineStr">
        <is>
          <t>01634-2-2229 (本所) / 01634-2-3366 (金融部)</t>
        </is>
      </c>
      <c r="E29" s="1" t="inlineStr">
        <is>
          <t>酪農中心。</t>
        </is>
      </c>
      <c r="F29" s="1" t="inlineStr">
        <is>
          <t>ヘルパー不足が深刻で、酪農家が休みを取れない状況が続いている。</t>
        </is>
      </c>
      <c r="G29" s="1" t="inlineStr">
        <is>
          <t>労働環境を改善するため、補助金を活用した外国人材の計画的な受け入れスキームを提案。</t>
        </is>
      </c>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inlineStr">
        <is>
          <t>BREXA CrossBorder</t>
        </is>
      </c>
      <c r="AH29" s="1" t="inlineStr">
        <is>
          <t>武田 悦郎</t>
        </is>
      </c>
      <c r="AI29" s="1" t="n"/>
      <c r="AJ29" s="1" t="n"/>
      <c r="AK29" s="1" t="n"/>
      <c r="AL29" s="1" t="n"/>
      <c r="AM29" s="1" t="n"/>
      <c r="AN29" s="1" t="n"/>
      <c r="AO29">
        <f>COUNTIFS(加電履歴!$F:$F,A29,加電履歴!$E:$E,"JAリスト")</f>
        <v/>
      </c>
      <c r="AP29" s="10">
        <f>IFERROR(IF(COUNTIFS(加電履歴!$F:$F,A29,加電履歴!$E:$E,"JAリスト")=0,"",MAXIFS(加電履歴!$B:$B,加電履歴!$F:$F,A29,加電履歴!$E:$E,"JAリスト")),"")</f>
        <v/>
      </c>
      <c r="AQ29">
        <f>IFERROR(IF(COUNTIFS(加電履歴!$F:$F,A29,加電履歴!$E:$E,"JAリスト")=0,"",INDEX(加電履歴!$I:$I,MATCH(1,(加電履歴!$F:$F=A29)*(加電履歴!$E:$E="JAリスト")*(加電履歴!$B:$B=MAXIFS(加電履歴!$B:$B,加電履歴!$F:$F,A29,加電履歴!$E:$E,"JAリスト")),0))),"")</f>
        <v/>
      </c>
    </row>
    <row r="30" ht="12.5" customHeight="1">
      <c r="A30" s="1" t="inlineStr">
        <is>
          <t>JAきたみらい</t>
        </is>
      </c>
      <c r="B30" s="12" t="inlineStr">
        <is>
          <t>https://www.jakitamirai.or.jp/</t>
        </is>
      </c>
      <c r="C30" s="13" t="inlineStr">
        <is>
          <t>北海道北見市中ノ島町1丁目1-8 (〒090-0813)</t>
        </is>
      </c>
      <c r="D30" s="13" t="inlineStr">
        <is>
          <t>0157-32-8777</t>
        </is>
      </c>
      <c r="E30" s="1" t="inlineStr">
        <is>
          <t>玉ねぎ（日本一）、じゃがいも、てんさい。</t>
        </is>
      </c>
      <c r="F30" s="1" t="inlineStr">
        <is>
          <t>玉ねぎ収穫・選別施設における膨大な労働力確保。ピーク時の不足が深刻。</t>
        </is>
      </c>
      <c r="G30" s="1" t="inlineStr">
        <is>
          <t>大規模選果場向けのまとまった人材紹介と、現場リーダー候補に対する日本語教育支援をセット提案。</t>
        </is>
      </c>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inlineStr">
        <is>
          <t>BREXA CrossBorder</t>
        </is>
      </c>
      <c r="AH30" s="1" t="inlineStr">
        <is>
          <t>武田 悦郎</t>
        </is>
      </c>
      <c r="AI30" s="1" t="n"/>
      <c r="AJ30" s="1" t="n"/>
      <c r="AK30" s="1" t="n"/>
      <c r="AL30" s="1" t="n"/>
      <c r="AM30" s="1" t="n"/>
      <c r="AN30" s="1" t="n"/>
      <c r="AO30">
        <f>COUNTIFS(加電履歴!$F:$F,A30,加電履歴!$E:$E,"JAリスト")</f>
        <v/>
      </c>
      <c r="AP30" s="10">
        <f>IFERROR(IF(COUNTIFS(加電履歴!$F:$F,A30,加電履歴!$E:$E,"JAリスト")=0,"",MAXIFS(加電履歴!$B:$B,加電履歴!$F:$F,A30,加電履歴!$E:$E,"JAリスト")),"")</f>
        <v/>
      </c>
      <c r="AQ30">
        <f>IFERROR(IF(COUNTIFS(加電履歴!$F:$F,A30,加電履歴!$E:$E,"JAリスト")=0,"",INDEX(加電履歴!$I:$I,MATCH(1,(加電履歴!$F:$F=A30)*(加電履歴!$E:$E="JAリスト")*(加電履歴!$B:$B=MAXIFS(加電履歴!$B:$B,加電履歴!$F:$F,A30,加電履歴!$E:$E,"JAリスト")),0))),"")</f>
        <v/>
      </c>
    </row>
    <row r="31" ht="12.5" customHeight="1">
      <c r="A31" s="1" t="inlineStr">
        <is>
          <t>JAところ</t>
        </is>
      </c>
      <c r="B31" s="12" t="inlineStr">
        <is>
          <t>https://www.ja-tokoro.or.jp/</t>
        </is>
      </c>
      <c r="C31" s="13" t="inlineStr">
        <is>
          <t>北海道北見市常呂町字常呂608 (〒093-0206)</t>
        </is>
      </c>
      <c r="D31" s="13" t="inlineStr">
        <is>
          <t>0152-54-2121</t>
        </is>
      </c>
      <c r="E31" s="1" t="inlineStr">
        <is>
          <t>玉ねぎ、にんにく、小麦。</t>
        </is>
      </c>
      <c r="F31" s="1" t="inlineStr">
        <is>
          <t>にんにくや玉ねぎの植え付け・収穫における短期集中的な労働需要。</t>
        </is>
      </c>
      <c r="G31" s="1" t="inlineStr">
        <is>
          <t>完全成果報酬型モデルを提示し、コストリスクなしで繁忙期に向けた人員確保の準備を促す。</t>
        </is>
      </c>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inlineStr">
        <is>
          <t>BREXA CrossBorder</t>
        </is>
      </c>
      <c r="AH31" s="1" t="inlineStr">
        <is>
          <t>武田 悦郎</t>
        </is>
      </c>
      <c r="AI31" s="1" t="n"/>
      <c r="AJ31" s="1" t="n"/>
      <c r="AK31" s="1" t="n"/>
      <c r="AL31" s="1" t="n"/>
      <c r="AM31" s="1" t="n"/>
      <c r="AN31" s="1" t="n"/>
      <c r="AO31">
        <f>COUNTIFS(加電履歴!$F:$F,A31,加電履歴!$E:$E,"JAリスト")</f>
        <v/>
      </c>
      <c r="AP31" s="10">
        <f>IFERROR(IF(COUNTIFS(加電履歴!$F:$F,A31,加電履歴!$E:$E,"JAリスト")=0,"",MAXIFS(加電履歴!$B:$B,加電履歴!$F:$F,A31,加電履歴!$E:$E,"JAリスト")),"")</f>
        <v/>
      </c>
      <c r="AQ31">
        <f>IFERROR(IF(COUNTIFS(加電履歴!$F:$F,A31,加電履歴!$E:$E,"JAリスト")=0,"",INDEX(加電履歴!$I:$I,MATCH(1,(加電履歴!$F:$F=A31)*(加電履歴!$E:$E="JAリスト")*(加電履歴!$B:$B=MAXIFS(加電履歴!$B:$B,加電履歴!$F:$F,A31,加電履歴!$E:$E,"JAリスト")),0))),"")</f>
        <v/>
      </c>
    </row>
    <row r="32" ht="12.5" customHeight="1">
      <c r="A32" s="1" t="inlineStr">
        <is>
          <t>JAめまんべつ</t>
        </is>
      </c>
      <c r="B32" s="12" t="inlineStr">
        <is>
          <t>https://www.ja-memanbetsu.jp/</t>
        </is>
      </c>
      <c r="C32" s="13" t="inlineStr">
        <is>
          <t>北海道網走郡大空町女満別西4条5丁目1-27 (〒099-2324)</t>
        </is>
      </c>
      <c r="D32" s="13" t="inlineStr">
        <is>
          <t>0152-74-2131</t>
        </is>
      </c>
      <c r="E32" s="1" t="inlineStr">
        <is>
          <t>麦、ビート、じゃがいも、長いも。</t>
        </is>
      </c>
      <c r="F32" s="1" t="inlineStr">
        <is>
          <t>長いもの収穫など重労働が多く、体力のある若手人材の確保が必須。</t>
        </is>
      </c>
      <c r="G32" s="1" t="inlineStr">
        <is>
          <t>生活サポートや日本語教育を通じて、若手人材が地域社会に馴染みやすくする独自の支援体制をアピール。</t>
        </is>
      </c>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inlineStr">
        <is>
          <t>BREXA CrossBorder</t>
        </is>
      </c>
      <c r="AH32" s="1" t="inlineStr">
        <is>
          <t>武田 悦郎</t>
        </is>
      </c>
      <c r="AI32" s="1" t="n"/>
      <c r="AJ32" s="1" t="n"/>
      <c r="AK32" s="1" t="n"/>
      <c r="AL32" s="1" t="n"/>
      <c r="AM32" s="1" t="n"/>
      <c r="AN32" s="1" t="n"/>
      <c r="AO32">
        <f>COUNTIFS(加電履歴!$F:$F,A32,加電履歴!$E:$E,"JAリスト")</f>
        <v/>
      </c>
      <c r="AP32" s="10">
        <f>IFERROR(IF(COUNTIFS(加電履歴!$F:$F,A32,加電履歴!$E:$E,"JAリスト")=0,"",MAXIFS(加電履歴!$B:$B,加電履歴!$F:$F,A32,加電履歴!$E:$E,"JAリスト")),"")</f>
        <v/>
      </c>
      <c r="AQ32">
        <f>IFERROR(IF(COUNTIFS(加電履歴!$F:$F,A32,加電履歴!$E:$E,"JAリスト")=0,"",INDEX(加電履歴!$I:$I,MATCH(1,(加電履歴!$F:$F=A32)*(加電履歴!$E:$E="JAリスト")*(加電履歴!$B:$B=MAXIFS(加電履歴!$B:$B,加電履歴!$F:$F,A32,加電履歴!$E:$E,"JAリスト")),0))),"")</f>
        <v/>
      </c>
    </row>
    <row r="33" ht="12.5" customHeight="1">
      <c r="A33" s="1" t="inlineStr">
        <is>
          <t>JAびほろ</t>
        </is>
      </c>
      <c r="B33" s="12" t="inlineStr">
        <is>
          <t>https://www.ja-bihoro.or.jp/</t>
        </is>
      </c>
      <c r="C33" s="13" t="inlineStr">
        <is>
          <t>北海道網走郡美幌町字青山南30番地1 (〒092-8651)</t>
        </is>
      </c>
      <c r="D33" s="13" t="inlineStr">
        <is>
          <t>0152-72-1111</t>
        </is>
      </c>
      <c r="E33" s="1" t="inlineStr">
        <is>
          <t>玉ねぎ、じゃがいも、ビート。</t>
        </is>
      </c>
      <c r="F33" s="1" t="inlineStr">
        <is>
          <t>大規模機械化が進むが、機械で代替できない選別作業等の人手が必要。</t>
        </is>
      </c>
      <c r="G33" s="1" t="inlineStr">
        <is>
          <t>指示の理解度を高めるための「やさしい日本語講座」を提供し、作業効率の低下を防ぐ支援を強調。</t>
        </is>
      </c>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inlineStr">
        <is>
          <t>BREXA CrossBorder</t>
        </is>
      </c>
      <c r="AH33" s="1" t="inlineStr">
        <is>
          <t>武田 悦郎</t>
        </is>
      </c>
      <c r="AI33" s="1" t="n"/>
      <c r="AJ33" s="1" t="n"/>
      <c r="AK33" s="1" t="n"/>
      <c r="AL33" s="1" t="n"/>
      <c r="AM33" s="1" t="n"/>
      <c r="AN33" s="1" t="n"/>
      <c r="AO33">
        <f>COUNTIFS(加電履歴!$F:$F,A33,加電履歴!$E:$E,"JAリスト")</f>
        <v/>
      </c>
      <c r="AP33" s="10">
        <f>IFERROR(IF(COUNTIFS(加電履歴!$F:$F,A33,加電履歴!$E:$E,"JAリスト")=0,"",MAXIFS(加電履歴!$B:$B,加電履歴!$F:$F,A33,加電履歴!$E:$E,"JAリスト")),"")</f>
        <v/>
      </c>
      <c r="AQ33">
        <f>IFERROR(IF(COUNTIFS(加電履歴!$F:$F,A33,加電履歴!$E:$E,"JAリスト")=0,"",INDEX(加電履歴!$I:$I,MATCH(1,(加電履歴!$F:$F=A33)*(加電履歴!$E:$E="JAリスト")*(加電履歴!$B:$B=MAXIFS(加電履歴!$B:$B,加電履歴!$F:$F,A33,加電履歴!$E:$E,"JAリスト")),0))),"")</f>
        <v/>
      </c>
    </row>
    <row r="34" ht="12.5" customHeight="1">
      <c r="A34" s="1" t="inlineStr">
        <is>
          <t>JAつべつ</t>
        </is>
      </c>
      <c r="B34" s="12" t="inlineStr">
        <is>
          <t>https://www.jatsubetsu.or.jp/</t>
        </is>
      </c>
      <c r="C34" s="13" t="inlineStr">
        <is>
          <t>北海道網走郡津別町字大通30番地1 (〒092-0231)</t>
        </is>
      </c>
      <c r="D34" s="13" t="inlineStr">
        <is>
          <t>0152-76-3322</t>
        </is>
      </c>
      <c r="E34" s="1" t="inlineStr">
        <is>
          <t>アスパラガス、じゃがいも、酪農。</t>
        </is>
      </c>
      <c r="F34" s="1" t="inlineStr">
        <is>
          <t>畑作と酪農が混在し、農家によって求める人材のスキルセットが異なる。</t>
        </is>
      </c>
      <c r="G34" s="1" t="inlineStr">
        <is>
          <t>人材紹介の専門性を活かした緻密なマッチングと、補助金申請サポートによる安心感を提供。</t>
        </is>
      </c>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inlineStr">
        <is>
          <t>BREXA CrossBorder</t>
        </is>
      </c>
      <c r="AH34" s="1" t="inlineStr">
        <is>
          <t>武田 悦郎</t>
        </is>
      </c>
      <c r="AI34" s="1" t="n"/>
      <c r="AJ34" s="1" t="n"/>
      <c r="AK34" s="1" t="n"/>
      <c r="AL34" s="1" t="n"/>
      <c r="AM34" s="1" t="n"/>
      <c r="AN34" s="1" t="n"/>
      <c r="AO34">
        <f>COUNTIFS(加電履歴!$F:$F,A34,加電履歴!$E:$E,"JAリスト")</f>
        <v/>
      </c>
      <c r="AP34" s="10">
        <f>IFERROR(IF(COUNTIFS(加電履歴!$F:$F,A34,加電履歴!$E:$E,"JAリスト")=0,"",MAXIFS(加電履歴!$B:$B,加電履歴!$F:$F,A34,加電履歴!$E:$E,"JAリスト")),"")</f>
        <v/>
      </c>
      <c r="AQ34">
        <f>IFERROR(IF(COUNTIFS(加電履歴!$F:$F,A34,加電履歴!$E:$E,"JAリスト")=0,"",INDEX(加電履歴!$I:$I,MATCH(1,(加電履歴!$F:$F=A34)*(加電履歴!$E:$E="JAリスト")*(加電履歴!$B:$B=MAXIFS(加電履歴!$B:$B,加電履歴!$F:$F,A34,加電履歴!$E:$E,"JAリスト")),0))),"")</f>
        <v/>
      </c>
    </row>
    <row r="35" ht="12.5" customHeight="1">
      <c r="A35" s="13" t="inlineStr">
        <is>
          <t>JAしれとこ斜里 (旧JA斜里町)</t>
        </is>
      </c>
      <c r="B35" s="12" t="inlineStr">
        <is>
          <t>https://ja-shiretokoshari.or.jp/</t>
        </is>
      </c>
      <c r="C35" s="13" t="inlineStr">
        <is>
          <t>北海道斜里郡斜里町本町36-1 (〒099-4195)</t>
        </is>
      </c>
      <c r="D35" s="13" t="inlineStr">
        <is>
          <t>0152-23-3151</t>
        </is>
      </c>
      <c r="E35" s="1" t="inlineStr">
        <is>
          <t>じゃがいも、てんさい、にんじん。</t>
        </is>
      </c>
      <c r="F35" s="1" t="inlineStr">
        <is>
          <t>知床の厳しい自然環境下での大規模農業。収穫期の選果場労働力がボトルネック。</t>
        </is>
      </c>
      <c r="G35" s="1" t="inlineStr">
        <is>
          <t>手厚い生活指導と語学サポートにより、地方の環境でも孤立させない定着支援プログラムを提案。</t>
        </is>
      </c>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inlineStr">
        <is>
          <t>BREXA CrossBorder</t>
        </is>
      </c>
      <c r="AH35" s="1" t="inlineStr">
        <is>
          <t>武田 悦郎</t>
        </is>
      </c>
      <c r="AI35" s="1" t="n"/>
      <c r="AJ35" s="1" t="n"/>
      <c r="AK35" s="1" t="n"/>
      <c r="AL35" s="1" t="n"/>
      <c r="AM35" s="1" t="n"/>
      <c r="AN35" s="1" t="n"/>
      <c r="AO35">
        <f>COUNTIFS(加電履歴!$F:$F,A35,加電履歴!$E:$E,"JAリスト")</f>
        <v/>
      </c>
      <c r="AP35" s="10">
        <f>IFERROR(IF(COUNTIFS(加電履歴!$F:$F,A35,加電履歴!$E:$E,"JAリスト")=0,"",MAXIFS(加電履歴!$B:$B,加電履歴!$F:$F,A35,加電履歴!$E:$E,"JAリスト")),"")</f>
        <v/>
      </c>
      <c r="AQ35">
        <f>IFERROR(IF(COUNTIFS(加電履歴!$F:$F,A35,加電履歴!$E:$E,"JAリスト")=0,"",INDEX(加電履歴!$I:$I,MATCH(1,(加電履歴!$F:$F=A35)*(加電履歴!$E:$E="JAリスト")*(加電履歴!$B:$B=MAXIFS(加電履歴!$B:$B,加電履歴!$F:$F,A35,加電履歴!$E:$E,"JAリスト")),0))),"")</f>
        <v/>
      </c>
    </row>
    <row r="36" ht="12.5" customHeight="1">
      <c r="A36" s="1" t="inlineStr">
        <is>
          <t>JA清里町</t>
        </is>
      </c>
      <c r="B36" s="12" t="inlineStr">
        <is>
          <t>https://ja-kiyosato.or.jp/</t>
        </is>
      </c>
      <c r="C36" s="13" t="inlineStr">
        <is>
          <t>北海道斜里郡清里町羽衣町2 (〒099-4405)</t>
        </is>
      </c>
      <c r="D36" s="13" t="inlineStr">
        <is>
          <t>0152-25-2212</t>
        </is>
      </c>
      <c r="E36" s="1" t="inlineStr">
        <is>
          <t>じゃがいも（焼酎原料含む）、小麦。</t>
        </is>
      </c>
      <c r="F36" s="1" t="inlineStr">
        <is>
          <t>焼酎工場などの加工施設連携もあり、農作業以外の関連業務への波及効果も。</t>
        </is>
      </c>
      <c r="G36" s="1" t="inlineStr">
        <is>
          <t>補助金採択を前提とした完全成果報酬で、組合を通じた地域全体の労働力底上げを打診する。</t>
        </is>
      </c>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inlineStr">
        <is>
          <t>BREXA CrossBorder</t>
        </is>
      </c>
      <c r="AH36" s="1" t="inlineStr">
        <is>
          <t>武田 悦郎</t>
        </is>
      </c>
      <c r="AI36" s="1" t="n"/>
      <c r="AJ36" s="1" t="n"/>
      <c r="AK36" s="1" t="n"/>
      <c r="AL36" s="1" t="n"/>
      <c r="AM36" s="1" t="n"/>
      <c r="AN36" s="1" t="n"/>
      <c r="AO36">
        <f>COUNTIFS(加電履歴!$F:$F,A36,加電履歴!$E:$E,"JAリスト")</f>
        <v/>
      </c>
      <c r="AP36" s="10">
        <f>IFERROR(IF(COUNTIFS(加電履歴!$F:$F,A36,加電履歴!$E:$E,"JAリスト")=0,"",MAXIFS(加電履歴!$B:$B,加電履歴!$F:$F,A36,加電履歴!$E:$E,"JAリスト")),"")</f>
        <v/>
      </c>
      <c r="AQ36">
        <f>IFERROR(IF(COUNTIFS(加電履歴!$F:$F,A36,加電履歴!$E:$E,"JAリスト")=0,"",INDEX(加電履歴!$I:$I,MATCH(1,(加電履歴!$F:$F=A36)*(加電履歴!$E:$E="JAリスト")*(加電履歴!$B:$B=MAXIFS(加電履歴!$B:$B,加電履歴!$F:$F,A36,加電履歴!$E:$E,"JAリスト")),0))),"")</f>
        <v/>
      </c>
    </row>
    <row r="37" ht="12.5" customHeight="1">
      <c r="A37" s="1" t="inlineStr">
        <is>
          <t>JAこしみず</t>
        </is>
      </c>
      <c r="B37" s="12" t="inlineStr">
        <is>
          <t>https://ja-koshimizu.jp/</t>
        </is>
      </c>
      <c r="C37" s="13" t="inlineStr">
        <is>
          <t>北海道斜里郡小清水町南町1-5-27</t>
        </is>
      </c>
      <c r="D37" s="13" t="inlineStr">
        <is>
          <t>0152-62-2111</t>
        </is>
      </c>
      <c r="E37" s="1" t="inlineStr">
        <is>
          <t>じゃがいも、小麦、てんさい。</t>
        </is>
      </c>
      <c r="F37" s="1" t="inlineStr">
        <is>
          <t>大規模畑作地帯におけるトラクターオペレーター不足と収穫補助員の人材難。</t>
        </is>
      </c>
      <c r="G37" s="1" t="inlineStr">
        <is>
          <t>安全な作業を実現するための語学・コミュニケーション教育の専門性を、他社にはない強みとしてアピール。</t>
        </is>
      </c>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inlineStr">
        <is>
          <t>BREXA CrossBorder</t>
        </is>
      </c>
      <c r="AH37" s="1" t="inlineStr">
        <is>
          <t>武田 悦郎</t>
        </is>
      </c>
      <c r="AI37" s="1" t="n"/>
      <c r="AJ37" s="1" t="n"/>
      <c r="AK37" s="1" t="n"/>
      <c r="AL37" s="1" t="n"/>
      <c r="AM37" s="1" t="n"/>
      <c r="AN37" s="1" t="n"/>
      <c r="AO37">
        <f>COUNTIFS(加電履歴!$F:$F,A37,加電履歴!$E:$E,"JAリスト")</f>
        <v/>
      </c>
      <c r="AP37" s="10">
        <f>IFERROR(IF(COUNTIFS(加電履歴!$F:$F,A37,加電履歴!$E:$E,"JAリスト")=0,"",MAXIFS(加電履歴!$B:$B,加電履歴!$F:$F,A37,加電履歴!$E:$E,"JAリスト")),"")</f>
        <v/>
      </c>
      <c r="AQ37">
        <f>IFERROR(IF(COUNTIFS(加電履歴!$F:$F,A37,加電履歴!$E:$E,"JAリスト")=0,"",INDEX(加電履歴!$I:$I,MATCH(1,(加電履歴!$F:$F=A37)*(加電履歴!$E:$E="JAリスト")*(加電履歴!$B:$B=MAXIFS(加電履歴!$B:$B,加電履歴!$F:$F,A37,加電履歴!$E:$E,"JAリスト")),0))),"")</f>
        <v/>
      </c>
    </row>
    <row r="38" ht="12.5" customHeight="1">
      <c r="A38" s="1" t="inlineStr">
        <is>
          <t>JAえんゆう</t>
        </is>
      </c>
      <c r="B38" s="12" t="inlineStr">
        <is>
          <t>https://www.ja-enyu.com/</t>
        </is>
      </c>
      <c r="C38" s="13" t="inlineStr">
        <is>
          <t>北海道紋別郡湧別町上湧別屯田市街地230番地 (〒099-6501) ※本所</t>
        </is>
      </c>
      <c r="D38" s="13" t="inlineStr">
        <is>
          <t>01586-2-2161</t>
        </is>
      </c>
      <c r="E38" s="1" t="inlineStr">
        <is>
          <t>玉ねぎ、アスパラガス、酪農。</t>
        </is>
      </c>
      <c r="F38" s="1" t="inlineStr">
        <is>
          <t>広域合併による大規模JAであり、管内での労働力の偏りや一括した採用管理が課題。</t>
        </is>
      </c>
      <c r="G38" s="1" t="inlineStr">
        <is>
          <t>JA本所を一括窓口とした、補助金申請から日本語教育、定着支援までをパッケージ化した総合提案。</t>
        </is>
      </c>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inlineStr">
        <is>
          <t>BREXA CrossBorder</t>
        </is>
      </c>
      <c r="AH38" s="1" t="inlineStr">
        <is>
          <t>武田 悦郎</t>
        </is>
      </c>
      <c r="AI38" s="1" t="n"/>
      <c r="AJ38" s="1" t="n"/>
      <c r="AK38" s="1" t="n"/>
      <c r="AL38" s="1" t="n"/>
      <c r="AM38" s="1" t="n"/>
      <c r="AN38" s="1" t="n"/>
      <c r="AO38">
        <f>COUNTIFS(加電履歴!$F:$F,A38,加電履歴!$E:$E,"JAリスト")</f>
        <v/>
      </c>
      <c r="AP38" s="10">
        <f>IFERROR(IF(COUNTIFS(加電履歴!$F:$F,A38,加電履歴!$E:$E,"JAリスト")=0,"",MAXIFS(加電履歴!$B:$B,加電履歴!$F:$F,A38,加電履歴!$E:$E,"JAリスト")),"")</f>
        <v/>
      </c>
      <c r="AQ38">
        <f>IFERROR(IF(COUNTIFS(加電履歴!$F:$F,A38,加電履歴!$E:$E,"JAリスト")=0,"",INDEX(加電履歴!$I:$I,MATCH(1,(加電履歴!$F:$F=A38)*(加電履歴!$E:$E="JAリスト")*(加電履歴!$B:$B=MAXIFS(加電履歴!$B:$B,加電履歴!$F:$F,A38,加電履歴!$E:$E,"JAリスト")),0))),"")</f>
        <v/>
      </c>
    </row>
    <row r="39" ht="12.5" customHeight="1">
      <c r="A39" s="13" t="inlineStr">
        <is>
          <t>JA帯広かわにし</t>
        </is>
      </c>
      <c r="B39" s="12" t="inlineStr">
        <is>
          <t>https://www.jaobihirokawanisi.or.jp/</t>
        </is>
      </c>
      <c r="C39" s="13" t="inlineStr">
        <is>
          <t>北海道帯広市川西町西2線61番地の1 (〒089-1198)</t>
        </is>
      </c>
      <c r="D39" s="13" t="inlineStr">
        <is>
          <t>0155-59-2111</t>
        </is>
      </c>
      <c r="E39" s="1" t="inlineStr">
        <is>
          <t>長いも（台湾等へ輸出）、じゃがいも。</t>
        </is>
      </c>
      <c r="F39" s="1" t="inlineStr">
        <is>
          <t>輸出向け長いもの徹底した品質管理と、選果場での大規模な人員確保。</t>
        </is>
      </c>
      <c r="G39" s="1" t="inlineStr">
        <is>
          <t>グローバルな視点を持つJAに対し、異文化理解や語学に強い人材紹介スキームを提案。</t>
        </is>
      </c>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inlineStr">
        <is>
          <t>BREXA CrossBorder</t>
        </is>
      </c>
      <c r="AH39" s="1" t="inlineStr">
        <is>
          <t>武田 悦郎</t>
        </is>
      </c>
      <c r="AI39" s="1" t="n"/>
      <c r="AJ39" s="1" t="n"/>
      <c r="AK39" s="1" t="n"/>
      <c r="AL39" s="1" t="n"/>
      <c r="AM39" s="1" t="n"/>
      <c r="AN39" s="1" t="n"/>
      <c r="AO39">
        <f>COUNTIFS(加電履歴!$F:$F,A39,加電履歴!$E:$E,"JAリスト")</f>
        <v/>
      </c>
      <c r="AP39" s="10">
        <f>IFERROR(IF(COUNTIFS(加電履歴!$F:$F,A39,加電履歴!$E:$E,"JAリスト")=0,"",MAXIFS(加電履歴!$B:$B,加電履歴!$F:$F,A39,加電履歴!$E:$E,"JAリスト")),"")</f>
        <v/>
      </c>
      <c r="AQ39">
        <f>IFERROR(IF(COUNTIFS(加電履歴!$F:$F,A39,加電履歴!$E:$E,"JAリスト")=0,"",INDEX(加電履歴!$I:$I,MATCH(1,(加電履歴!$F:$F=A39)*(加電履歴!$E:$E="JAリスト")*(加電履歴!$B:$B=MAXIFS(加電履歴!$B:$B,加電履歴!$F:$F,A39,加電履歴!$E:$E,"JAリスト")),0))),"")</f>
        <v/>
      </c>
    </row>
    <row r="40" ht="12.5" customHeight="1">
      <c r="A40" s="13" t="inlineStr">
        <is>
          <t>JAおびひろ ※2003年JA帯広かわにしへ合併・現存せず</t>
        </is>
      </c>
      <c r="B40" s="14" t="inlineStr"/>
      <c r="C40" s="13" t="inlineStr">
        <is>
          <t>※旧帯広市農協はJA帯広かわにしに統合済み (Row 39参照)</t>
        </is>
      </c>
      <c r="D40" s="13" t="inlineStr">
        <is>
          <t>※存続団体: JA帯広かわにし 0155-59-2111</t>
        </is>
      </c>
      <c r="E40" s="1" t="inlineStr">
        <is>
          <t>畑作全般、酪農。</t>
        </is>
      </c>
      <c r="F40" s="1" t="inlineStr">
        <is>
          <t>都市部と隣接する農業エリアでの、多様な労働力ニーズの混在。</t>
        </is>
      </c>
      <c r="G40" s="1" t="inlineStr">
        <is>
          <t>成果報酬型で導入リスクを排除しつつ、語学教育の知見を応用した独自の日本語サポートを提示。</t>
        </is>
      </c>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inlineStr">
        <is>
          <t>BREXA CrossBorder</t>
        </is>
      </c>
      <c r="AH40" s="1" t="inlineStr">
        <is>
          <t>武田 悦郎</t>
        </is>
      </c>
      <c r="AI40" s="1" t="n"/>
      <c r="AJ40" s="1" t="n"/>
      <c r="AK40" s="1" t="n"/>
      <c r="AL40" s="1" t="n"/>
      <c r="AM40" s="1" t="n"/>
      <c r="AN40" s="1" t="n"/>
      <c r="AO40">
        <f>COUNTIFS(加電履歴!$F:$F,A40,加電履歴!$E:$E,"JAリスト")</f>
        <v/>
      </c>
      <c r="AP40" s="10">
        <f>IFERROR(IF(COUNTIFS(加電履歴!$F:$F,A40,加電履歴!$E:$E,"JAリスト")=0,"",MAXIFS(加電履歴!$B:$B,加電履歴!$F:$F,A40,加電履歴!$E:$E,"JAリスト")),"")</f>
        <v/>
      </c>
      <c r="AQ40">
        <f>IFERROR(IF(COUNTIFS(加電履歴!$F:$F,A40,加電履歴!$E:$E,"JAリスト")=0,"",INDEX(加電履歴!$I:$I,MATCH(1,(加電履歴!$F:$F=A40)*(加電履歴!$E:$E="JAリスト")*(加電履歴!$B:$B=MAXIFS(加電履歴!$B:$B,加電履歴!$F:$F,A40,加電履歴!$E:$E,"JAリスト")),0))),"")</f>
        <v/>
      </c>
    </row>
    <row r="41" ht="12.5" customHeight="1">
      <c r="A41" s="13" t="inlineStr">
        <is>
          <t>JAおとふけ</t>
        </is>
      </c>
      <c r="B41" s="12" t="inlineStr">
        <is>
          <t>https://www.ja-otofuke.jp/</t>
        </is>
      </c>
      <c r="C41" s="13" t="inlineStr">
        <is>
          <t>北海道河東郡音更町大通5丁目1番地 (〒080-0101) ※2024/7移転</t>
        </is>
      </c>
      <c r="D41" s="13" t="inlineStr">
        <is>
          <t>0155-42-8725</t>
        </is>
      </c>
      <c r="E41" s="1" t="inlineStr">
        <is>
          <t>小麦、豆類、てんさい、ブロッコリー。</t>
        </is>
      </c>
      <c r="F41" s="1" t="inlineStr">
        <is>
          <t>作付面積・生産量ともに国内トップクラスであり、圧倒的な数の労働力が必要。</t>
        </is>
      </c>
      <c r="G41" s="1" t="inlineStr">
        <is>
          <t>費用負担を最小化する補助金活用スキームと、手厚い通訳・翻訳サポートを提案。</t>
        </is>
      </c>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inlineStr">
        <is>
          <t>BREXA CrossBorder</t>
        </is>
      </c>
      <c r="AH41" s="1" t="inlineStr">
        <is>
          <t>武田 悦郎</t>
        </is>
      </c>
      <c r="AI41" s="1" t="n"/>
      <c r="AJ41" s="1" t="n"/>
      <c r="AK41" s="1" t="n"/>
      <c r="AL41" s="1" t="n"/>
      <c r="AM41" s="1" t="n"/>
      <c r="AN41" s="1" t="n"/>
      <c r="AO41">
        <f>COUNTIFS(加電履歴!$F:$F,A41,加電履歴!$E:$E,"JAリスト")</f>
        <v/>
      </c>
      <c r="AP41" s="10">
        <f>IFERROR(IF(COUNTIFS(加電履歴!$F:$F,A41,加電履歴!$E:$E,"JAリスト")=0,"",MAXIFS(加電履歴!$B:$B,加電履歴!$F:$F,A41,加電履歴!$E:$E,"JAリスト")),"")</f>
        <v/>
      </c>
      <c r="AQ41">
        <f>IFERROR(IF(COUNTIFS(加電履歴!$F:$F,A41,加電履歴!$E:$E,"JAリスト")=0,"",INDEX(加電履歴!$I:$I,MATCH(1,(加電履歴!$F:$F=A41)*(加電履歴!$E:$E="JAリスト")*(加電履歴!$B:$B=MAXIFS(加電履歴!$B:$B,加電履歴!$F:$F,A41,加電履歴!$E:$E,"JAリスト")),0))),"")</f>
        <v/>
      </c>
    </row>
    <row r="42" ht="12.5" customHeight="1">
      <c r="A42" s="13" t="inlineStr">
        <is>
          <t>JA木野</t>
        </is>
      </c>
      <c r="B42" s="12" t="inlineStr">
        <is>
          <t>https://ja-kino.com/</t>
        </is>
      </c>
      <c r="C42" s="13" t="inlineStr">
        <is>
          <t>北海道河東郡音更町木野大通西7-1</t>
        </is>
      </c>
      <c r="D42" s="13" t="inlineStr">
        <is>
          <t>0155-31-2143</t>
        </is>
      </c>
      <c r="E42" s="1" t="inlineStr">
        <is>
          <t>ブロッコリー、大根、長ねぎ。</t>
        </is>
      </c>
      <c r="F42" s="1" t="inlineStr">
        <is>
          <t>鮮度が重要な野菜の収穫ピーク時における、確実な人員確保。</t>
        </is>
      </c>
      <c r="G42" s="1" t="inlineStr">
        <is>
          <t>語学教育による作業指示の正確な伝達をアピールし、収穫ロスを防ぐ高品質な労働力を提供。</t>
        </is>
      </c>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inlineStr">
        <is>
          <t>BREXA CrossBorder</t>
        </is>
      </c>
      <c r="AH42" s="1" t="inlineStr">
        <is>
          <t>武田 悦郎</t>
        </is>
      </c>
      <c r="AI42" s="1" t="n"/>
      <c r="AJ42" s="1" t="n"/>
      <c r="AK42" s="1" t="n"/>
      <c r="AL42" s="1" t="n"/>
      <c r="AM42" s="1" t="n"/>
      <c r="AN42" s="1" t="n"/>
      <c r="AO42">
        <f>COUNTIFS(加電履歴!$F:$F,A42,加電履歴!$E:$E,"JAリスト")</f>
        <v/>
      </c>
      <c r="AP42" s="10">
        <f>IFERROR(IF(COUNTIFS(加電履歴!$F:$F,A42,加電履歴!$E:$E,"JAリスト")=0,"",MAXIFS(加電履歴!$B:$B,加電履歴!$F:$F,A42,加電履歴!$E:$E,"JAリスト")),"")</f>
        <v/>
      </c>
      <c r="AQ42">
        <f>IFERROR(IF(COUNTIFS(加電履歴!$F:$F,A42,加電履歴!$E:$E,"JAリスト")=0,"",INDEX(加電履歴!$I:$I,MATCH(1,(加電履歴!$F:$F=A42)*(加電履歴!$E:$E="JAリスト")*(加電履歴!$B:$B=MAXIFS(加電履歴!$B:$B,加電履歴!$F:$F,A42,加電履歴!$E:$E,"JAリスト")),0))),"")</f>
        <v/>
      </c>
    </row>
    <row r="43" ht="12.5" customHeight="1">
      <c r="A43" s="13" t="inlineStr">
        <is>
          <t>JA士幌町</t>
        </is>
      </c>
      <c r="B43" s="12" t="inlineStr">
        <is>
          <t>https://www.ja-shihoro.or.jp/</t>
        </is>
      </c>
      <c r="C43" s="13" t="inlineStr">
        <is>
          <t>北海道河東郡士幌町字士幌西2線159番地</t>
        </is>
      </c>
      <c r="D43" s="13" t="inlineStr">
        <is>
          <t>01564-5-2311</t>
        </is>
      </c>
      <c r="E43" s="1" t="inlineStr">
        <is>
          <t>じゃがいも、肉牛、酪農。直営加工施設多数。</t>
        </is>
      </c>
      <c r="F43" s="1" t="inlineStr">
        <is>
          <t>JA直営工場があり、農場だけでなく加工工場での人員不足も深刻。</t>
        </is>
      </c>
      <c r="G43" s="1" t="inlineStr">
        <is>
          <t>農業と飲食料品製造業の双方の特定技能に対応できる点をアピールし、完全成果報酬で提案。</t>
        </is>
      </c>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inlineStr">
        <is>
          <t>BREXA CrossBorder</t>
        </is>
      </c>
      <c r="AH43" s="1" t="inlineStr">
        <is>
          <t>武田 悦郎</t>
        </is>
      </c>
      <c r="AI43" s="1" t="n"/>
      <c r="AJ43" s="1" t="n"/>
      <c r="AK43" s="1" t="n"/>
      <c r="AL43" s="1" t="n"/>
      <c r="AM43" s="1" t="n"/>
      <c r="AN43" s="1" t="n"/>
      <c r="AO43">
        <f>COUNTIFS(加電履歴!$F:$F,A43,加電履歴!$E:$E,"JAリスト")</f>
        <v/>
      </c>
      <c r="AP43" s="10">
        <f>IFERROR(IF(COUNTIFS(加電履歴!$F:$F,A43,加電履歴!$E:$E,"JAリスト")=0,"",MAXIFS(加電履歴!$B:$B,加電履歴!$F:$F,A43,加電履歴!$E:$E,"JAリスト")),"")</f>
        <v/>
      </c>
      <c r="AQ43">
        <f>IFERROR(IF(COUNTIFS(加電履歴!$F:$F,A43,加電履歴!$E:$E,"JAリスト")=0,"",INDEX(加電履歴!$I:$I,MATCH(1,(加電履歴!$F:$F=A43)*(加電履歴!$E:$E="JAリスト")*(加電履歴!$B:$B=MAXIFS(加電履歴!$B:$B,加電履歴!$F:$F,A43,加電履歴!$E:$E,"JAリスト")),0))),"")</f>
        <v/>
      </c>
    </row>
    <row r="44" ht="12.5" customHeight="1">
      <c r="A44" s="13" t="inlineStr">
        <is>
          <t>JA上士幌町</t>
        </is>
      </c>
      <c r="B44" s="12" t="inlineStr">
        <is>
          <t>https://ja-kamishihoro.or.jp/</t>
        </is>
      </c>
      <c r="C44" s="13" t="inlineStr">
        <is>
          <t>北海道河東郡上士幌町字上士幌東2線238 (〒080-1493)</t>
        </is>
      </c>
      <c r="D44" s="13" t="inlineStr">
        <is>
          <t>01564-2-2131</t>
        </is>
      </c>
      <c r="E44" s="1" t="inlineStr">
        <is>
          <t>酪農（ギガファーム多数）、畑作。</t>
        </is>
      </c>
      <c r="F44" s="1" t="inlineStr">
        <is>
          <t>1000頭規模のメガファームが多く、組織的な労務管理と専門的な人材が求められる。</t>
        </is>
      </c>
      <c r="G44" s="1" t="inlineStr">
        <is>
          <t>企業的農業経営を行う農場に対し、人材紹介から日本語教育までワンストップのHRサービスを提供。</t>
        </is>
      </c>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inlineStr">
        <is>
          <t>BREXA CrossBorder</t>
        </is>
      </c>
      <c r="AH44" s="1" t="inlineStr">
        <is>
          <t>武田 悦郎</t>
        </is>
      </c>
      <c r="AI44" s="1" t="n"/>
      <c r="AJ44" s="1" t="n"/>
      <c r="AK44" s="1" t="n"/>
      <c r="AL44" s="1" t="n"/>
      <c r="AM44" s="1" t="n"/>
      <c r="AN44" s="1" t="n"/>
      <c r="AO44">
        <f>COUNTIFS(加電履歴!$F:$F,A44,加電履歴!$E:$E,"JAリスト")</f>
        <v/>
      </c>
      <c r="AP44" s="10">
        <f>IFERROR(IF(COUNTIFS(加電履歴!$F:$F,A44,加電履歴!$E:$E,"JAリスト")=0,"",MAXIFS(加電履歴!$B:$B,加電履歴!$F:$F,A44,加電履歴!$E:$E,"JAリスト")),"")</f>
        <v/>
      </c>
      <c r="AQ44">
        <f>IFERROR(IF(COUNTIFS(加電履歴!$F:$F,A44,加電履歴!$E:$E,"JAリスト")=0,"",INDEX(加電履歴!$I:$I,MATCH(1,(加電履歴!$F:$F=A44)*(加電履歴!$E:$E="JAリスト")*(加電履歴!$B:$B=MAXIFS(加電履歴!$B:$B,加電履歴!$F:$F,A44,加電履歴!$E:$E,"JAリスト")),0))),"")</f>
        <v/>
      </c>
    </row>
    <row r="45" ht="12.5" customHeight="1">
      <c r="A45" s="13" t="inlineStr">
        <is>
          <t>JA鹿追町</t>
        </is>
      </c>
      <c r="B45" s="12" t="inlineStr">
        <is>
          <t>https://www.ja-shikaoi.com/</t>
        </is>
      </c>
      <c r="C45" s="13" t="inlineStr">
        <is>
          <t>北海道河東郡鹿追町新町4丁目51番地 (〒081-0293)</t>
        </is>
      </c>
      <c r="D45" s="13" t="inlineStr">
        <is>
          <t>0156-66-2131</t>
        </is>
      </c>
      <c r="E45" s="1" t="inlineStr">
        <is>
          <t>酪農、てんさい。バイオガスプラント推進。</t>
        </is>
      </c>
      <c r="F45" s="1" t="inlineStr">
        <is>
          <t>環境保全型農業を進める中で、取り組みを理解し真面目に働く人材が必要。</t>
        </is>
      </c>
      <c r="G45" s="1" t="inlineStr">
        <is>
          <t>リスクのない成果報酬型をフックに、生活サポートや異文化理解講座を通じた高い定着率をアピール。</t>
        </is>
      </c>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inlineStr">
        <is>
          <t>BREXA CrossBorder</t>
        </is>
      </c>
      <c r="AH45" s="1" t="inlineStr">
        <is>
          <t>武田 悦郎</t>
        </is>
      </c>
      <c r="AI45" s="1" t="n"/>
      <c r="AJ45" s="1" t="n"/>
      <c r="AK45" s="1" t="n"/>
      <c r="AL45" s="1" t="n"/>
      <c r="AM45" s="1" t="n"/>
      <c r="AN45" s="1" t="n"/>
      <c r="AO45">
        <f>COUNTIFS(加電履歴!$F:$F,A45,加電履歴!$E:$E,"JAリスト")</f>
        <v/>
      </c>
      <c r="AP45" s="10">
        <f>IFERROR(IF(COUNTIFS(加電履歴!$F:$F,A45,加電履歴!$E:$E,"JAリスト")=0,"",MAXIFS(加電履歴!$B:$B,加電履歴!$F:$F,A45,加電履歴!$E:$E,"JAリスト")),"")</f>
        <v/>
      </c>
      <c r="AQ45">
        <f>IFERROR(IF(COUNTIFS(加電履歴!$F:$F,A45,加電履歴!$E:$E,"JAリスト")=0,"",INDEX(加電履歴!$I:$I,MATCH(1,(加電履歴!$F:$F=A45)*(加電履歴!$E:$E="JAリスト")*(加電履歴!$B:$B=MAXIFS(加電履歴!$B:$B,加電履歴!$F:$F,A45,加電履歴!$E:$E,"JAリスト")),0))),"")</f>
        <v/>
      </c>
    </row>
    <row r="46" ht="12.5" customHeight="1">
      <c r="A46" s="13" t="inlineStr">
        <is>
          <t>JA新得町</t>
        </is>
      </c>
      <c r="B46" s="12" t="inlineStr">
        <is>
          <t>https://www.ja-shintoku.or.jp/</t>
        </is>
      </c>
      <c r="C46" s="13" t="inlineStr">
        <is>
          <t>北海道上川郡新得町1条南3丁目1</t>
        </is>
      </c>
      <c r="D46" s="13" t="inlineStr">
        <is>
          <t>0156-64-5021</t>
        </is>
      </c>
      <c r="E46" s="1" t="inlineStr">
        <is>
          <t>そば、酪農、肉牛。</t>
        </is>
      </c>
      <c r="F46" s="1" t="inlineStr">
        <is>
          <t>そばの収穫・加工や、酪農での年間を通じた労働力不足。</t>
        </is>
      </c>
      <c r="G46" s="1" t="inlineStr">
        <is>
          <t>語学教育のバックグラウンドを活かし、地域とのトラブルを防ぐための事前教育の徹底を強みとする。</t>
        </is>
      </c>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inlineStr">
        <is>
          <t>BREXA CrossBorder</t>
        </is>
      </c>
      <c r="AH46" s="1" t="inlineStr">
        <is>
          <t>武田 悦郎</t>
        </is>
      </c>
      <c r="AI46" s="1" t="n"/>
      <c r="AJ46" s="1" t="n"/>
      <c r="AK46" s="1" t="n"/>
      <c r="AL46" s="1" t="n"/>
      <c r="AM46" s="1" t="n"/>
      <c r="AN46" s="1" t="n"/>
      <c r="AO46">
        <f>COUNTIFS(加電履歴!$F:$F,A46,加電履歴!$E:$E,"JAリスト")</f>
        <v/>
      </c>
      <c r="AP46" s="10">
        <f>IFERROR(IF(COUNTIFS(加電履歴!$F:$F,A46,加電履歴!$E:$E,"JAリスト")=0,"",MAXIFS(加電履歴!$B:$B,加電履歴!$F:$F,A46,加電履歴!$E:$E,"JAリスト")),"")</f>
        <v/>
      </c>
      <c r="AQ46">
        <f>IFERROR(IF(COUNTIFS(加電履歴!$F:$F,A46,加電履歴!$E:$E,"JAリスト")=0,"",INDEX(加電履歴!$I:$I,MATCH(1,(加電履歴!$F:$F=A46)*(加電履歴!$E:$E="JAリスト")*(加電履歴!$B:$B=MAXIFS(加電履歴!$B:$B,加電履歴!$F:$F,A46,加電履歴!$E:$E,"JAリスト")),0))),"")</f>
        <v/>
      </c>
    </row>
    <row r="47" ht="12.5" customHeight="1">
      <c r="A47" s="13" t="inlineStr">
        <is>
          <t>JA阿寒</t>
        </is>
      </c>
      <c r="B47" s="12" t="inlineStr">
        <is>
          <t>http://www.ja-akan.or.jp/</t>
        </is>
      </c>
      <c r="C47" s="13" t="inlineStr">
        <is>
          <t>北海道釧路市阿寒町北新町1-4-1 (〒085-0216)</t>
        </is>
      </c>
      <c r="D47" s="13" t="inlineStr">
        <is>
          <t>0154-66-3211</t>
        </is>
      </c>
      <c r="E47" s="1" t="inlineStr">
        <is>
          <t>酪農、肉牛、エゾシカ肉加工。</t>
        </is>
      </c>
      <c r="F47" s="1" t="inlineStr">
        <is>
          <t>大規模酪農地帯であり、搾乳作業など年間を通じて安定した人員が必要。</t>
        </is>
      </c>
      <c r="G47" s="1" t="inlineStr">
        <is>
          <t>補助金採択を条件とすることで、初期費用に悩む酪農家へのアプローチを容易にする。</t>
        </is>
      </c>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inlineStr">
        <is>
          <t>BREXA CrossBorder</t>
        </is>
      </c>
      <c r="AH47" s="1" t="inlineStr">
        <is>
          <t>武田 悦郎</t>
        </is>
      </c>
      <c r="AI47" s="1" t="n"/>
      <c r="AJ47" s="1" t="n"/>
      <c r="AK47" s="1" t="n"/>
      <c r="AL47" s="1" t="n"/>
      <c r="AM47" s="1" t="n"/>
      <c r="AN47" s="1" t="n"/>
      <c r="AO47">
        <f>COUNTIFS(加電履歴!$F:$F,A47,加電履歴!$E:$E,"JAリスト")</f>
        <v/>
      </c>
      <c r="AP47" s="10">
        <f>IFERROR(IF(COUNTIFS(加電履歴!$F:$F,A47,加電履歴!$E:$E,"JAリスト")=0,"",MAXIFS(加電履歴!$B:$B,加電履歴!$F:$F,A47,加電履歴!$E:$E,"JAリスト")),"")</f>
        <v/>
      </c>
      <c r="AQ47">
        <f>IFERROR(IF(COUNTIFS(加電履歴!$F:$F,A47,加電履歴!$E:$E,"JAリスト")=0,"",INDEX(加電履歴!$I:$I,MATCH(1,(加電履歴!$F:$F=A47)*(加電履歴!$E:$E="JAリスト")*(加電履歴!$B:$B=MAXIFS(加電履歴!$B:$B,加電履歴!$F:$F,A47,加電履歴!$E:$E,"JAリスト")),0))),"")</f>
        <v/>
      </c>
    </row>
    <row r="48" ht="12.5" customHeight="1">
      <c r="A48" s="13" t="inlineStr">
        <is>
          <t>JAしべちゃ</t>
        </is>
      </c>
      <c r="B48" s="12" t="inlineStr">
        <is>
          <t>https://www.sip.jp/~ja-shibecya/</t>
        </is>
      </c>
      <c r="C48" s="13" t="inlineStr">
        <is>
          <t>北海道川上郡標茶町開運9丁目6番地 (〒088-2311)</t>
        </is>
      </c>
      <c r="D48" s="13" t="inlineStr">
        <is>
          <t>015-485-2103</t>
        </is>
      </c>
      <c r="E48" s="1" t="inlineStr">
        <is>
          <t>酪農（広大な放牧地）、肉牛。</t>
        </is>
      </c>
      <c r="F48" s="1" t="inlineStr">
        <is>
          <t>広大な面積を誇るため、孤立しがちな環境における外国人材のメンタルケアが課題。</t>
        </is>
      </c>
      <c r="G48" s="1" t="inlineStr">
        <is>
          <t>定期的な訪問や「やさしい日本語講座」を通じた細やかなメンタルサポート体制を強調する。</t>
        </is>
      </c>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inlineStr">
        <is>
          <t>BREXA CrossBorder</t>
        </is>
      </c>
      <c r="AH48" s="1" t="inlineStr">
        <is>
          <t>武田 悦郎</t>
        </is>
      </c>
      <c r="AI48" s="1" t="n"/>
      <c r="AJ48" s="1" t="n"/>
      <c r="AK48" s="1" t="n"/>
      <c r="AL48" s="1" t="n"/>
      <c r="AM48" s="1" t="n"/>
      <c r="AN48" s="1" t="n"/>
      <c r="AO48">
        <f>COUNTIFS(加電履歴!$F:$F,A48,加電履歴!$E:$E,"JAリスト")</f>
        <v/>
      </c>
      <c r="AP48" s="10">
        <f>IFERROR(IF(COUNTIFS(加電履歴!$F:$F,A48,加電履歴!$E:$E,"JAリスト")=0,"",MAXIFS(加電履歴!$B:$B,加電履歴!$F:$F,A48,加電履歴!$E:$E,"JAリスト")),"")</f>
        <v/>
      </c>
      <c r="AQ48">
        <f>IFERROR(IF(COUNTIFS(加電履歴!$F:$F,A48,加電履歴!$E:$E,"JAリスト")=0,"",INDEX(加電履歴!$I:$I,MATCH(1,(加電履歴!$F:$F=A48)*(加電履歴!$E:$E="JAリスト")*(加電履歴!$B:$B=MAXIFS(加電履歴!$B:$B,加電履歴!$F:$F,A48,加電履歴!$E:$E,"JAリスト")),0))),"")</f>
        <v/>
      </c>
    </row>
    <row r="49" ht="12.5" customHeight="1">
      <c r="A49" s="13" t="inlineStr">
        <is>
          <t>JA道東あさひ</t>
        </is>
      </c>
      <c r="B49" s="12" t="inlineStr">
        <is>
          <t>https://www.ja-doutouasahi.or.jp/</t>
        </is>
      </c>
      <c r="C49" s="13" t="inlineStr">
        <is>
          <t>北海道野付郡別海町別海緑町116番地9 (〒086-0214)</t>
        </is>
      </c>
      <c r="D49" s="13" t="inlineStr">
        <is>
          <t>0153-75-2201</t>
        </is>
      </c>
      <c r="E49" s="1" t="inlineStr">
        <is>
          <t>生乳生産量日本一の超大規模酪農。</t>
        </is>
      </c>
      <c r="F49" s="1" t="inlineStr">
        <is>
          <t>ヘルパー不足・後継者不足により、外国人材なしでは産業維持が不可能。</t>
        </is>
      </c>
      <c r="G49" s="1" t="inlineStr">
        <is>
          <t>完全成果報酬型により、JAを通じ管内の全酪農家へリスクなしで一斉アプローチできる設計を提案。</t>
        </is>
      </c>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inlineStr">
        <is>
          <t>BREXA CrossBorder</t>
        </is>
      </c>
      <c r="AH49" s="1" t="inlineStr">
        <is>
          <t>武田 悦郎</t>
        </is>
      </c>
      <c r="AI49" s="1" t="n"/>
      <c r="AJ49" s="1" t="n"/>
      <c r="AK49" s="1" t="n"/>
      <c r="AL49" s="1" t="n"/>
      <c r="AM49" s="1" t="n"/>
      <c r="AN49" s="1" t="n"/>
      <c r="AO49">
        <f>COUNTIFS(加電履歴!$F:$F,A49,加電履歴!$E:$E,"JAリスト")</f>
        <v/>
      </c>
      <c r="AP49" s="10">
        <f>IFERROR(IF(COUNTIFS(加電履歴!$F:$F,A49,加電履歴!$E:$E,"JAリスト")=0,"",MAXIFS(加電履歴!$B:$B,加電履歴!$F:$F,A49,加電履歴!$E:$E,"JAリスト")),"")</f>
        <v/>
      </c>
      <c r="AQ49">
        <f>IFERROR(IF(COUNTIFS(加電履歴!$F:$F,A49,加電履歴!$E:$E,"JAリスト")=0,"",INDEX(加電履歴!$I:$I,MATCH(1,(加電履歴!$F:$F=A49)*(加電履歴!$E:$E="JAリスト")*(加電履歴!$B:$B=MAXIFS(加電履歴!$B:$B,加電履歴!$F:$F,A49,加電履歴!$E:$E,"JAリスト")),0))),"")</f>
        <v/>
      </c>
    </row>
    <row r="50" ht="12.5" customHeight="1">
      <c r="A50" s="13" t="inlineStr">
        <is>
          <t>JAなかしゅんべつ (中春別農業協同組合)</t>
        </is>
      </c>
      <c r="B50" s="12" t="inlineStr">
        <is>
          <t>http://ja-nks.jp/</t>
        </is>
      </c>
      <c r="C50" s="13" t="inlineStr">
        <is>
          <t>北海道野付郡別海町中春別南町3 (〒086-0652)</t>
        </is>
      </c>
      <c r="D50" s="13" t="inlineStr">
        <is>
          <t>01537-6-2311</t>
        </is>
      </c>
      <c r="E50" s="1" t="inlineStr">
        <is>
          <t>酪農専業地帯。</t>
        </is>
      </c>
      <c r="F50" s="1" t="inlineStr">
        <is>
          <t>家族経営から法人化への移行期にあり、労務管理や外国人材の教育ノウハウがない。</t>
        </is>
      </c>
      <c r="G50" s="1" t="inlineStr">
        <is>
          <t>人材紹介とセットで提供する語学・コミュニケーション教育の専門性を提示し、教育コスト削減をアピール。</t>
        </is>
      </c>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inlineStr">
        <is>
          <t>BREXA CrossBorder</t>
        </is>
      </c>
      <c r="AH50" s="1" t="inlineStr">
        <is>
          <t>武田 悦郎</t>
        </is>
      </c>
      <c r="AI50" s="1" t="n"/>
      <c r="AJ50" s="1" t="n"/>
      <c r="AK50" s="1" t="n"/>
      <c r="AL50" s="1" t="n"/>
      <c r="AM50" s="1" t="n"/>
      <c r="AN50" s="1" t="n"/>
      <c r="AO50">
        <f>COUNTIFS(加電履歴!$F:$F,A50,加電履歴!$E:$E,"JAリスト")</f>
        <v/>
      </c>
      <c r="AP50" s="10">
        <f>IFERROR(IF(COUNTIFS(加電履歴!$F:$F,A50,加電履歴!$E:$E,"JAリスト")=0,"",MAXIFS(加電履歴!$B:$B,加電履歴!$F:$F,A50,加電履歴!$E:$E,"JAリスト")),"")</f>
        <v/>
      </c>
      <c r="AQ50">
        <f>IFERROR(IF(COUNTIFS(加電履歴!$F:$F,A50,加電履歴!$E:$E,"JAリスト")=0,"",INDEX(加電履歴!$I:$I,MATCH(1,(加電履歴!$F:$F=A50)*(加電履歴!$E:$E="JAリスト")*(加電履歴!$B:$B=MAXIFS(加電履歴!$B:$B,加電履歴!$F:$F,A50,加電履歴!$E:$E,"JAリスト")),0))),"")</f>
        <v/>
      </c>
    </row>
    <row r="51" ht="12.5" customHeight="1">
      <c r="A51" s="13" t="inlineStr">
        <is>
          <t>JA標津</t>
        </is>
      </c>
      <c r="B51" s="12" t="inlineStr">
        <is>
          <t>https://www.ja-shibetsu.com/</t>
        </is>
      </c>
      <c r="C51" s="13" t="inlineStr">
        <is>
          <t>北海道標津郡標津町字川北基線西2番地</t>
        </is>
      </c>
      <c r="D51" s="13" t="inlineStr">
        <is>
          <t>0153-85-2121</t>
        </is>
      </c>
      <c r="E51" s="1" t="inlineStr">
        <is>
          <t>酪農中心。</t>
        </is>
      </c>
      <c r="F51" s="1" t="inlineStr">
        <is>
          <t>根室エリア特有の気候や生活環境への適応が、外国人材定着の鍵となる。</t>
        </is>
      </c>
      <c r="G51" s="1" t="inlineStr">
        <is>
          <t>入国前のオリエンテーションと、語学教育ノウハウを活かした現地での手厚い生活支援を約束する。</t>
        </is>
      </c>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inlineStr">
        <is>
          <t>BREXA CrossBorder</t>
        </is>
      </c>
      <c r="AH51" s="1" t="inlineStr">
        <is>
          <t>武田 悦郎</t>
        </is>
      </c>
      <c r="AI51" s="1" t="n"/>
      <c r="AJ51" s="1" t="n"/>
      <c r="AK51" s="1" t="n"/>
      <c r="AL51" s="1" t="n"/>
      <c r="AM51" s="1" t="n"/>
      <c r="AN51" s="1" t="n"/>
      <c r="AO51">
        <f>COUNTIFS(加電履歴!$F:$F,A51,加電履歴!$E:$E,"JAリスト")</f>
        <v/>
      </c>
      <c r="AP51" s="10">
        <f>IFERROR(IF(COUNTIFS(加電履歴!$F:$F,A51,加電履歴!$E:$E,"JAリスト")=0,"",MAXIFS(加電履歴!$B:$B,加電履歴!$F:$F,A51,加電履歴!$E:$E,"JAリスト")),"")</f>
        <v/>
      </c>
      <c r="AQ51">
        <f>IFERROR(IF(COUNTIFS(加電履歴!$F:$F,A51,加電履歴!$E:$E,"JAリスト")=0,"",INDEX(加電履歴!$I:$I,MATCH(1,(加電履歴!$F:$F=A51)*(加電履歴!$E:$E="JAリスト")*(加電履歴!$B:$B=MAXIFS(加電履歴!$B:$B,加電履歴!$F:$F,A51,加電履歴!$E:$E,"JAリスト")),0))),"")</f>
        <v/>
      </c>
    </row>
    <row r="52" ht="12.5" customHeight="1">
      <c r="A52" s="17" t="inlineStr">
        <is>
          <t>JAオホーツク網走</t>
        </is>
      </c>
      <c r="B52" s="16" t="inlineStr">
        <is>
          <t>https://ja-okhotskabashiri.or.jp/</t>
        </is>
      </c>
      <c r="C52" s="17" t="inlineStr">
        <is>
          <t>北海道網走市南4条東2丁目10番地 (〒093-8728)</t>
        </is>
      </c>
      <c r="D52" s="17" t="inlineStr">
        <is>
          <t>0152-43-2311</t>
        </is>
      </c>
      <c r="E52" s="17" t="inlineStr">
        <is>
          <t>網走市・大空町(女満別)・東藻琴の広域JA。米・小麦・じゃがいも・てんさい・玉ねぎ・ブランド牛「オホーツクあばしり和牛」。</t>
        </is>
      </c>
      <c r="F52" s="17" t="inlineStr">
        <is>
          <t>畑作と畜産の複合経営、選果場での労働力不足。</t>
        </is>
      </c>
      <c r="G52" s="17" t="inlineStr">
        <is>
          <t>オホーツク地域の主要JAとして、補助金活用と完全成果報酬型を提示しながら、広域組合員への一斉アプローチを提案。</t>
        </is>
      </c>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f>COUNTIFS(加電履歴!$F:$F,A52,加電履歴!$E:$E,"JAリスト")</f>
        <v/>
      </c>
      <c r="AP52" s="10">
        <f>IFERROR(IF(COUNTIFS(加電履歴!$F:$F,A52,加電履歴!$E:$E,"JAリスト")=0,"",MAXIFS(加電履歴!$B:$B,加電履歴!$F:$F,A52,加電履歴!$E:$E,"JAリスト")),"")</f>
        <v/>
      </c>
      <c r="AQ52">
        <f>IFERROR(IF(COUNTIFS(加電履歴!$F:$F,A52,加電履歴!$E:$E,"JAリスト")=0,"",INDEX(加電履歴!$I:$I,MATCH(1,(加電履歴!$F:$F=A52)*(加電履歴!$E:$E="JAリスト")*(加電履歴!$B:$B=MAXIFS(加電履歴!$B:$B,加電履歴!$F:$F,A52,加電履歴!$E:$E,"JAリスト")),0))),"")</f>
        <v/>
      </c>
    </row>
    <row r="53" ht="12.5" customHeight="1">
      <c r="A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4"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1" r:id="rId36"/>
    <hyperlink xmlns:r="http://schemas.openxmlformats.org/officeDocument/2006/relationships" ref="B42" r:id="rId37"/>
    <hyperlink xmlns:r="http://schemas.openxmlformats.org/officeDocument/2006/relationships" ref="B43" r:id="rId38"/>
    <hyperlink xmlns:r="http://schemas.openxmlformats.org/officeDocument/2006/relationships" ref="B44" r:id="rId39"/>
    <hyperlink xmlns:r="http://schemas.openxmlformats.org/officeDocument/2006/relationships" ref="B45" r:id="rId40"/>
    <hyperlink xmlns:r="http://schemas.openxmlformats.org/officeDocument/2006/relationships" ref="B46" r:id="rId41"/>
    <hyperlink xmlns:r="http://schemas.openxmlformats.org/officeDocument/2006/relationships" ref="B47" r:id="rId42"/>
    <hyperlink xmlns:r="http://schemas.openxmlformats.org/officeDocument/2006/relationships" ref="B48" r:id="rId43"/>
    <hyperlink xmlns:r="http://schemas.openxmlformats.org/officeDocument/2006/relationships" ref="B49" r:id="rId44"/>
    <hyperlink xmlns:r="http://schemas.openxmlformats.org/officeDocument/2006/relationships" ref="B50" r:id="rId45"/>
    <hyperlink xmlns:r="http://schemas.openxmlformats.org/officeDocument/2006/relationships" ref="B51" r:id="rId46"/>
    <hyperlink xmlns:r="http://schemas.openxmlformats.org/officeDocument/2006/relationships" ref="B52" r:id="rId47"/>
  </hyperlinks>
  <pageMargins left="0.7" right="0.7" top="0.75" bottom="0.75" header="0.3" footer="0.3"/>
  <pageSetup orientation="portrait" paperSize="9"/>
  <tableParts count="1">
    <tablePart xmlns:r="http://schemas.openxmlformats.org/officeDocument/2006/relationships" r:id="rId48"/>
  </tableParts>
</worksheet>
</file>

<file path=xl/worksheets/sheet2.xml><?xml version="1.0" encoding="utf-8"?>
<worksheet xmlns="http://schemas.openxmlformats.org/spreadsheetml/2006/main">
  <sheetPr>
    <outlinePr summaryBelow="1" summaryRight="1"/>
    <pageSetUpPr/>
  </sheetPr>
  <dimension ref="A1:AS102"/>
  <sheetViews>
    <sheetView tabSelected="1" workbookViewId="0">
      <selection activeCell="F16" sqref="F16"/>
    </sheetView>
  </sheetViews>
  <sheetFormatPr baseColWidth="8" defaultColWidth="12.6328125" defaultRowHeight="12.5"/>
  <cols>
    <col width="6.453125" customWidth="1" min="1" max="1"/>
    <col width="24.08984375" customWidth="1" min="2" max="2"/>
    <col width="40" customWidth="1" min="3" max="3"/>
    <col width="31.81640625" customWidth="1" min="5" max="5"/>
    <col width="34.7265625" customWidth="1" min="6" max="6"/>
    <col width="63.36328125" customWidth="1" min="7" max="7"/>
    <col width="14" customWidth="1" min="43" max="43"/>
    <col width="14" customWidth="1" min="44" max="44"/>
    <col width="14" customWidth="1" min="45" max="45"/>
  </cols>
  <sheetData>
    <row r="1" ht="13" customFormat="1" customHeight="1" s="8">
      <c r="A1" s="7" t="inlineStr">
        <is>
          <t>エリア</t>
        </is>
      </c>
      <c r="B1" s="7" t="inlineStr">
        <is>
          <t>企業名</t>
        </is>
      </c>
      <c r="C1" s="7" t="inlineStr">
        <is>
          <t>ホームページ</t>
        </is>
      </c>
      <c r="D1" s="7" t="inlineStr">
        <is>
          <t>住所</t>
        </is>
      </c>
      <c r="E1" s="7" t="inlineStr">
        <is>
          <t>電話番号</t>
        </is>
      </c>
      <c r="F1" s="7" t="inlineStr">
        <is>
          <t>地域の農業特徴・特産品情報</t>
        </is>
      </c>
      <c r="G1" s="7" t="inlineStr">
        <is>
          <t>想定される課題・アプローチのポイント</t>
        </is>
      </c>
      <c r="H1" s="7" t="inlineStr">
        <is>
          <t>提案の切り口（自社サービス・強み）</t>
        </is>
      </c>
      <c r="I1" s="7" t="inlineStr">
        <is>
          <t>担当部署</t>
        </is>
      </c>
      <c r="J1" s="7" t="inlineStr">
        <is>
          <t>役職</t>
        </is>
      </c>
      <c r="K1" s="7" t="inlineStr">
        <is>
          <t>担当者</t>
        </is>
      </c>
      <c r="L1" s="7" t="inlineStr">
        <is>
          <t>活用状況</t>
        </is>
      </c>
      <c r="M1" s="7" t="inlineStr">
        <is>
          <t>実習人数</t>
        </is>
      </c>
      <c r="N1" s="7" t="inlineStr">
        <is>
          <t>実習_国籍</t>
        </is>
      </c>
      <c r="O1" s="7" t="inlineStr">
        <is>
          <t>特技人数</t>
        </is>
      </c>
      <c r="P1" s="7" t="inlineStr">
        <is>
          <t>特技_国籍</t>
        </is>
      </c>
      <c r="Q1" s="7" t="inlineStr">
        <is>
          <t>既存状況</t>
        </is>
      </c>
      <c r="R1" s="7" t="inlineStr">
        <is>
          <t>営業状況</t>
        </is>
      </c>
      <c r="S1" s="7" t="inlineStr">
        <is>
          <t>ステータス</t>
        </is>
      </c>
      <c r="T1" s="7" t="inlineStr">
        <is>
          <t>進捗</t>
        </is>
      </c>
      <c r="U1" s="7" t="inlineStr">
        <is>
          <t>初回訪問日</t>
        </is>
      </c>
      <c r="V1" s="7" t="inlineStr">
        <is>
          <t>最終コンタクト日</t>
        </is>
      </c>
      <c r="W1" s="7" t="inlineStr">
        <is>
          <t>最終経過日数</t>
        </is>
      </c>
      <c r="X1" s="7" t="inlineStr">
        <is>
          <t>訪問履歴</t>
        </is>
      </c>
      <c r="Y1" s="7" t="inlineStr">
        <is>
          <t>最終アクション（日付・結果/詳細）</t>
        </is>
      </c>
      <c r="Z1" s="7" t="inlineStr">
        <is>
          <t>日付</t>
        </is>
      </c>
      <c r="AA1" s="7" t="inlineStr">
        <is>
          <t>行動</t>
        </is>
      </c>
      <c r="AB1" s="7" t="inlineStr">
        <is>
          <t>次回アクション予定</t>
        </is>
      </c>
      <c r="AC1" s="7" t="inlineStr">
        <is>
          <t>予定日</t>
        </is>
      </c>
      <c r="AD1" s="7" t="inlineStr">
        <is>
          <t>連携元</t>
        </is>
      </c>
      <c r="AE1" s="7" t="inlineStr">
        <is>
          <t>連携元所属</t>
        </is>
      </c>
      <c r="AF1" s="7" t="inlineStr">
        <is>
          <t>連携者</t>
        </is>
      </c>
      <c r="AG1" s="7" t="inlineStr">
        <is>
          <t>連携先</t>
        </is>
      </c>
      <c r="AH1" s="7" t="inlineStr">
        <is>
          <t>担当所属</t>
        </is>
      </c>
      <c r="AI1" s="7" t="inlineStr">
        <is>
          <t>営業担当</t>
        </is>
      </c>
      <c r="AJ1" s="7" t="inlineStr">
        <is>
          <t>受注日</t>
        </is>
      </c>
      <c r="AK1" s="7" t="inlineStr">
        <is>
          <t>受注内容</t>
        </is>
      </c>
      <c r="AL1" s="7" t="inlineStr">
        <is>
          <t>配属予定日</t>
        </is>
      </c>
      <c r="AM1" s="7" t="inlineStr">
        <is>
          <t>受注_国籍</t>
        </is>
      </c>
      <c r="AN1" s="7" t="inlineStr">
        <is>
          <t>受注_人数</t>
        </is>
      </c>
      <c r="AO1" s="7" t="inlineStr">
        <is>
          <t>状況</t>
        </is>
      </c>
      <c r="AP1" s="7" t="n"/>
      <c r="AQ1" s="7" t="inlineStr">
        <is>
          <t>加電回数</t>
        </is>
      </c>
      <c r="AR1" s="7" t="inlineStr">
        <is>
          <t>最終加電日</t>
        </is>
      </c>
      <c r="AS1" s="7" t="inlineStr">
        <is>
          <t>最終結果</t>
        </is>
      </c>
    </row>
    <row r="2" ht="15.75" customHeight="1">
      <c r="A2" s="9" t="inlineStr">
        <is>
          <t>道央</t>
        </is>
      </c>
      <c r="B2" s="18" t="inlineStr">
        <is>
          <t>株式会社Kalm角山</t>
        </is>
      </c>
      <c r="C2" s="12" t="inlineStr">
        <is>
          <t>https://www.kalm.co.jp/</t>
        </is>
      </c>
      <c r="D2" s="18" t="inlineStr">
        <is>
          <t>北海道江別市角山491</t>
        </is>
      </c>
      <c r="E2" s="18" t="inlineStr">
        <is>
          <t>011-378-6858</t>
        </is>
      </c>
      <c r="F2" s="9" t="inlineStr">
        <is>
          <t>都市型メガファーム/搾乳ロボット導入</t>
        </is>
      </c>
      <c r="G2" s="9" t="inlineStr">
        <is>
          <t>規模拡大に伴うオペレーター不足</t>
        </is>
      </c>
      <c r="H2" s="9" t="inlineStr">
        <is>
          <t>初期採用費用を抑え現場の即戦力となる特定技能人材をご提案</t>
        </is>
      </c>
      <c r="I2" s="9" t="inlineStr">
        <is>
          <t>経営企画部</t>
        </is>
      </c>
      <c r="J2" s="9" t="inlineStr">
        <is>
          <t>代表取締役</t>
        </is>
      </c>
      <c r="K2" s="9" t="inlineStr">
        <is>
          <t>川口谷 仁</t>
        </is>
      </c>
      <c r="L2" s="9" t="inlineStr">
        <is>
          <t>導入済</t>
        </is>
      </c>
      <c r="Q2" s="9" t="inlineStr">
        <is>
          <t>未開拓</t>
        </is>
      </c>
      <c r="R2" s="9" t="inlineStr">
        <is>
          <t>ターゲット</t>
        </is>
      </c>
      <c r="S2" s="9" t="inlineStr">
        <is>
          <t>リストアップ</t>
        </is>
      </c>
      <c r="AH2" s="9" t="inlineStr">
        <is>
          <t>営業推進部</t>
        </is>
      </c>
      <c r="AI2" s="9" t="inlineStr">
        <is>
          <t>武田 悦郎</t>
        </is>
      </c>
      <c r="AP2" s="9" t="inlineStr">
        <is>
          <t>未定</t>
        </is>
      </c>
      <c r="AQ2">
        <f>COUNTIFS(加電履歴!$F:$F,B2,加電履歴!$E:$E,"畜種農業")</f>
        <v/>
      </c>
      <c r="AR2" s="10">
        <f>IFERROR(IF(COUNTIFS(加電履歴!$F:$F,B2,加電履歴!$E:$E,"畜種農業")=0,"",MAXIFS(加電履歴!$B:$B,加電履歴!$F:$F,B2,加電履歴!$E:$E,"畜種農業")),"")</f>
        <v/>
      </c>
      <c r="AS2">
        <f>IFERROR(IF(COUNTIFS(加電履歴!$F:$F,B2,加電履歴!$E:$E,"畜種農業")=0,"",INDEX(加電履歴!$I:$I,MATCH(1,(加電履歴!$F:$F=B2)*(加電履歴!$E:$E="畜種農業")*(加電履歴!$B:$B=MAXIFS(加電履歴!$B:$B,加電履歴!$F:$F,B2,加電履歴!$E:$E,"畜種農業")),0))),"")</f>
        <v/>
      </c>
    </row>
    <row r="3" ht="15.75" customHeight="1">
      <c r="A3" s="9" t="inlineStr">
        <is>
          <t>道央</t>
        </is>
      </c>
      <c r="B3" s="18" t="inlineStr">
        <is>
          <t>株式会社町村農場</t>
        </is>
      </c>
      <c r="C3" s="12" t="inlineStr">
        <is>
          <t>http://www.machimura.co.jp/</t>
        </is>
      </c>
      <c r="D3" s="18" t="inlineStr">
        <is>
          <t>北海道江別市篠津183番地 (〒067-0055)</t>
        </is>
      </c>
      <c r="E3" s="18" t="inlineStr">
        <is>
          <t>011-382-2155</t>
        </is>
      </c>
      <c r="F3" s="9" t="inlineStr">
        <is>
          <t>自社ブランド乳製品の製造直販</t>
        </is>
      </c>
      <c r="G3" s="9" t="inlineStr">
        <is>
          <t>農場作業と加工販売の兼務による負担</t>
        </is>
      </c>
      <c r="H3" s="9" t="inlineStr">
        <is>
          <t>採用コストゼロで即戦力を配置し既存社員を販売業務へシフトさせる提案</t>
        </is>
      </c>
      <c r="I3" s="9" t="inlineStr">
        <is>
          <t>経営陣</t>
        </is>
      </c>
      <c r="J3" s="9" t="inlineStr">
        <is>
          <t>代表取締役</t>
        </is>
      </c>
      <c r="K3" s="9" t="inlineStr">
        <is>
          <t>町村 均</t>
        </is>
      </c>
      <c r="L3" s="9" t="inlineStr">
        <is>
          <t>未確認</t>
        </is>
      </c>
      <c r="Q3" s="9" t="inlineStr">
        <is>
          <t>未開拓</t>
        </is>
      </c>
      <c r="R3" s="9" t="inlineStr">
        <is>
          <t>ターゲット</t>
        </is>
      </c>
      <c r="S3" s="9" t="inlineStr">
        <is>
          <t>リストアップ</t>
        </is>
      </c>
      <c r="AH3" s="9" t="inlineStr">
        <is>
          <t>営業推進部</t>
        </is>
      </c>
      <c r="AI3" s="9" t="inlineStr">
        <is>
          <t>武田 悦郎</t>
        </is>
      </c>
      <c r="AP3" s="9" t="inlineStr">
        <is>
          <t>未定</t>
        </is>
      </c>
      <c r="AQ3">
        <f>COUNTIFS(加電履歴!$F:$F,B3,加電履歴!$E:$E,"畜種農業")</f>
        <v/>
      </c>
      <c r="AR3" s="10">
        <f>IFERROR(IF(COUNTIFS(加電履歴!$F:$F,B3,加電履歴!$E:$E,"畜種農業")=0,"",MAXIFS(加電履歴!$B:$B,加電履歴!$F:$F,B3,加電履歴!$E:$E,"畜種農業")),"")</f>
        <v/>
      </c>
      <c r="AS3">
        <f>IFERROR(IF(COUNTIFS(加電履歴!$F:$F,B3,加電履歴!$E:$E,"畜種農業")=0,"",INDEX(加電履歴!$I:$I,MATCH(1,(加電履歴!$F:$F=B3)*(加電履歴!$E:$E="畜種農業")*(加電履歴!$B:$B=MAXIFS(加電履歴!$B:$B,加電履歴!$F:$F,B3,加電履歴!$E:$E,"畜種農業")),0))),"")</f>
        <v/>
      </c>
    </row>
    <row r="4" ht="15.75" customHeight="1">
      <c r="A4" s="9" t="inlineStr">
        <is>
          <t>道央</t>
        </is>
      </c>
      <c r="B4" s="18" t="inlineStr">
        <is>
          <t>おおやファーム株式会社</t>
        </is>
      </c>
      <c r="C4" s="12" t="inlineStr">
        <is>
          <t>https://ooya-farm.com/</t>
        </is>
      </c>
      <c r="D4" s="18" t="inlineStr">
        <is>
          <t>北海道千歳市駒里2297 (〒066-0011)</t>
        </is>
      </c>
      <c r="E4" s="18" t="inlineStr">
        <is>
          <t>0123-40-6175</t>
        </is>
      </c>
      <c r="F4" s="9" t="inlineStr">
        <is>
          <t>ブランド豚「う米豚」一貫生産</t>
        </is>
      </c>
      <c r="G4" s="9" t="inlineStr">
        <is>
          <t>養豚の重労働による若手人材の定着難</t>
        </is>
      </c>
      <c r="H4" s="9" t="inlineStr">
        <is>
          <t>養豚現場に適応できる特定技能人材を余計な採用コストなしで即戦力として提供</t>
        </is>
      </c>
      <c r="I4" s="9" t="inlineStr">
        <is>
          <t>管理部</t>
        </is>
      </c>
      <c r="J4" s="9" t="inlineStr">
        <is>
          <t>代表取締役社長</t>
        </is>
      </c>
      <c r="K4" s="9" t="inlineStr">
        <is>
          <t>大矢 智彰</t>
        </is>
      </c>
      <c r="L4" s="9" t="inlineStr">
        <is>
          <t>未確認</t>
        </is>
      </c>
      <c r="Q4" s="9" t="inlineStr">
        <is>
          <t>未開拓</t>
        </is>
      </c>
      <c r="R4" s="9" t="inlineStr">
        <is>
          <t>ターゲット</t>
        </is>
      </c>
      <c r="S4" s="9" t="inlineStr">
        <is>
          <t>リストアップ</t>
        </is>
      </c>
      <c r="AH4" s="9" t="inlineStr">
        <is>
          <t>営業推進部</t>
        </is>
      </c>
      <c r="AI4" s="9" t="inlineStr">
        <is>
          <t>武田 悦郎</t>
        </is>
      </c>
      <c r="AP4" s="9" t="inlineStr">
        <is>
          <t>未定</t>
        </is>
      </c>
      <c r="AQ4">
        <f>COUNTIFS(加電履歴!$F:$F,B4,加電履歴!$E:$E,"畜種農業")</f>
        <v/>
      </c>
      <c r="AR4" s="10">
        <f>IFERROR(IF(COUNTIFS(加電履歴!$F:$F,B4,加電履歴!$E:$E,"畜種農業")=0,"",MAXIFS(加電履歴!$B:$B,加電履歴!$F:$F,B4,加電履歴!$E:$E,"畜種農業")),"")</f>
        <v/>
      </c>
      <c r="AS4">
        <f>IFERROR(IF(COUNTIFS(加電履歴!$F:$F,B4,加電履歴!$E:$E,"畜種農業")=0,"",INDEX(加電履歴!$I:$I,MATCH(1,(加電履歴!$F:$F=B4)*(加電履歴!$E:$E="畜種農業")*(加電履歴!$B:$B=MAXIFS(加電履歴!$B:$B,加電履歴!$F:$F,B4,加電履歴!$E:$E,"畜種農業")),0))),"")</f>
        <v/>
      </c>
    </row>
    <row r="5" ht="15.75" customHeight="1">
      <c r="A5" s="9" t="inlineStr">
        <is>
          <t>道央</t>
        </is>
      </c>
      <c r="B5" s="18" t="inlineStr">
        <is>
          <t>有限会社浅野農場</t>
        </is>
      </c>
      <c r="C5" s="12" t="inlineStr">
        <is>
          <t>https://asanofarm.com/</t>
        </is>
      </c>
      <c r="D5" s="18" t="inlineStr">
        <is>
          <t>北海道石狩郡当別町字上当別2190番地 (〒061-0207)</t>
        </is>
      </c>
      <c r="E5" s="18" t="inlineStr">
        <is>
          <t>0133-22-4129</t>
        </is>
      </c>
      <c r="F5" s="9" t="inlineStr">
        <is>
          <t>大規模SPF豚生産/複合経営</t>
        </is>
      </c>
      <c r="G5" s="9" t="inlineStr">
        <is>
          <t>繁忙期が重なる際の労働力不足</t>
        </is>
      </c>
      <c r="H5" s="9" t="inlineStr">
        <is>
          <t>複合経営に対応できる柔軟な即戦力人材を採用コストを抑えて提供</t>
        </is>
      </c>
      <c r="I5" s="9" t="inlineStr">
        <is>
          <t>管理部</t>
        </is>
      </c>
      <c r="J5" s="9" t="inlineStr">
        <is>
          <t>代表取締役</t>
        </is>
      </c>
      <c r="K5" s="9" t="inlineStr">
        <is>
          <t>浅野 政輝</t>
        </is>
      </c>
      <c r="L5" s="9" t="inlineStr">
        <is>
          <t>未確認</t>
        </is>
      </c>
      <c r="Q5" s="9" t="inlineStr">
        <is>
          <t>未開拓</t>
        </is>
      </c>
      <c r="R5" s="9" t="inlineStr">
        <is>
          <t>ターゲット</t>
        </is>
      </c>
      <c r="S5" s="9" t="inlineStr">
        <is>
          <t>リストアップ</t>
        </is>
      </c>
      <c r="AH5" s="9" t="inlineStr">
        <is>
          <t>営業推進部</t>
        </is>
      </c>
      <c r="AI5" s="9" t="inlineStr">
        <is>
          <t>武田 悦郎</t>
        </is>
      </c>
      <c r="AP5" s="9" t="inlineStr">
        <is>
          <t>未定</t>
        </is>
      </c>
      <c r="AQ5">
        <f>COUNTIFS(加電履歴!$F:$F,B5,加電履歴!$E:$E,"畜種農業")</f>
        <v/>
      </c>
      <c r="AR5" s="10">
        <f>IFERROR(IF(COUNTIFS(加電履歴!$F:$F,B5,加電履歴!$E:$E,"畜種農業")=0,"",MAXIFS(加電履歴!$B:$B,加電履歴!$F:$F,B5,加電履歴!$E:$E,"畜種農業")),"")</f>
        <v/>
      </c>
      <c r="AS5">
        <f>IFERROR(IF(COUNTIFS(加電履歴!$F:$F,B5,加電履歴!$E:$E,"畜種農業")=0,"",INDEX(加電履歴!$I:$I,MATCH(1,(加電履歴!$F:$F=B5)*(加電履歴!$E:$E="畜種農業")*(加電履歴!$B:$B=MAXIFS(加電履歴!$B:$B,加電履歴!$F:$F,B5,加電履歴!$E:$E,"畜種農業")),0))),"")</f>
        <v/>
      </c>
    </row>
    <row r="6" ht="15.75" customHeight="1">
      <c r="A6" s="9" t="inlineStr">
        <is>
          <t>道央</t>
        </is>
      </c>
      <c r="B6" s="18" t="inlineStr">
        <is>
          <t>有限会社永光農園</t>
        </is>
      </c>
      <c r="C6" s="12" t="inlineStr">
        <is>
          <t>https://nagamitsufarm.com/</t>
        </is>
      </c>
      <c r="D6" s="18" t="inlineStr">
        <is>
          <t>北海道札幌市清田区有明216番地</t>
        </is>
      </c>
      <c r="E6" s="18" t="inlineStr">
        <is>
          <t>011-886-7204</t>
        </is>
      </c>
      <c r="F6" s="9" t="inlineStr">
        <is>
          <t>平飼い養鶏/スイーツ店運営</t>
        </is>
      </c>
      <c r="G6" s="9" t="inlineStr">
        <is>
          <t>集卵や給餌作業と販売スタッフ不足</t>
        </is>
      </c>
      <c r="H6" s="9" t="inlineStr">
        <is>
          <t>養鶏ルーティンを即戦力に任せ代表が店舗運営に専念できる体制構築</t>
        </is>
      </c>
      <c r="I6" s="9" t="inlineStr">
        <is>
          <t>本社</t>
        </is>
      </c>
      <c r="J6" s="9" t="inlineStr">
        <is>
          <t>代表取締役</t>
        </is>
      </c>
      <c r="K6" s="9" t="inlineStr">
        <is>
          <t>永光 洋明</t>
        </is>
      </c>
      <c r="L6" s="9" t="inlineStr">
        <is>
          <t>未確認</t>
        </is>
      </c>
      <c r="Q6" s="9" t="inlineStr">
        <is>
          <t>未開拓</t>
        </is>
      </c>
      <c r="R6" s="9" t="inlineStr">
        <is>
          <t>ターゲット</t>
        </is>
      </c>
      <c r="S6" s="9" t="inlineStr">
        <is>
          <t>リストアップ</t>
        </is>
      </c>
      <c r="AH6" s="9" t="inlineStr">
        <is>
          <t>営業推進部</t>
        </is>
      </c>
      <c r="AI6" s="9" t="inlineStr">
        <is>
          <t>武田 悦郎</t>
        </is>
      </c>
      <c r="AP6" s="9" t="inlineStr">
        <is>
          <t>未定</t>
        </is>
      </c>
      <c r="AQ6">
        <f>COUNTIFS(加電履歴!$F:$F,B6,加電履歴!$E:$E,"畜種農業")</f>
        <v/>
      </c>
      <c r="AR6" s="10">
        <f>IFERROR(IF(COUNTIFS(加電履歴!$F:$F,B6,加電履歴!$E:$E,"畜種農業")=0,"",MAXIFS(加電履歴!$B:$B,加電履歴!$F:$F,B6,加電履歴!$E:$E,"畜種農業")),"")</f>
        <v/>
      </c>
      <c r="AS6">
        <f>IFERROR(IF(COUNTIFS(加電履歴!$F:$F,B6,加電履歴!$E:$E,"畜種農業")=0,"",INDEX(加電履歴!$I:$I,MATCH(1,(加電履歴!$F:$F=B6)*(加電履歴!$E:$E="畜種農業")*(加電履歴!$B:$B=MAXIFS(加電履歴!$B:$B,加電履歴!$F:$F,B6,加電履歴!$E:$E,"畜種農業")),0))),"")</f>
        <v/>
      </c>
    </row>
    <row r="7" ht="15.75" customHeight="1">
      <c r="A7" s="9" t="inlineStr">
        <is>
          <t>道央</t>
        </is>
      </c>
      <c r="B7" s="18" t="inlineStr">
        <is>
          <t>酪農体験むらかみ牧場</t>
        </is>
      </c>
      <c r="C7" s="12" t="inlineStr">
        <is>
          <t>https://murakami-farm.com/</t>
        </is>
      </c>
      <c r="D7" s="18" t="inlineStr">
        <is>
          <t>北海道恵庭市戸磯156番地</t>
        </is>
      </c>
      <c r="E7" s="18" t="inlineStr">
        <is>
          <t>080-6061-9966</t>
        </is>
      </c>
      <c r="F7" s="9" t="inlineStr">
        <is>
          <t>観光牧場/自家製牛乳販売</t>
        </is>
      </c>
      <c r="G7" s="9" t="inlineStr">
        <is>
          <t>観光客対応と通常の飼養管理の両立</t>
        </is>
      </c>
      <c r="H7" s="9" t="inlineStr">
        <is>
          <t>バックヤードの飼養管理を即戦力が担うことで接客観光サービス品質を向上</t>
        </is>
      </c>
      <c r="I7" s="9" t="inlineStr">
        <is>
          <t>経営陣</t>
        </is>
      </c>
      <c r="J7" s="9" t="inlineStr">
        <is>
          <t>代表</t>
        </is>
      </c>
      <c r="K7" s="9" t="inlineStr">
        <is>
          <t>村上 隆彦</t>
        </is>
      </c>
      <c r="L7" s="9" t="inlineStr">
        <is>
          <t>未確認</t>
        </is>
      </c>
      <c r="Q7" s="9" t="inlineStr">
        <is>
          <t>未開拓</t>
        </is>
      </c>
      <c r="R7" s="9" t="inlineStr">
        <is>
          <t>ターゲット</t>
        </is>
      </c>
      <c r="S7" s="9" t="inlineStr">
        <is>
          <t>リストアップ</t>
        </is>
      </c>
      <c r="AH7" s="9" t="inlineStr">
        <is>
          <t>営業推進部</t>
        </is>
      </c>
      <c r="AI7" s="9" t="inlineStr">
        <is>
          <t>武田 悦郎</t>
        </is>
      </c>
      <c r="AP7" s="9" t="inlineStr">
        <is>
          <t>未定</t>
        </is>
      </c>
      <c r="AQ7">
        <f>COUNTIFS(加電履歴!$F:$F,B7,加電履歴!$E:$E,"畜種農業")</f>
        <v/>
      </c>
      <c r="AR7" s="10">
        <f>IFERROR(IF(COUNTIFS(加電履歴!$F:$F,B7,加電履歴!$E:$E,"畜種農業")=0,"",MAXIFS(加電履歴!$B:$B,加電履歴!$F:$F,B7,加電履歴!$E:$E,"畜種農業")),"")</f>
        <v/>
      </c>
      <c r="AS7">
        <f>IFERROR(IF(COUNTIFS(加電履歴!$F:$F,B7,加電履歴!$E:$E,"畜種農業")=0,"",INDEX(加電履歴!$I:$I,MATCH(1,(加電履歴!$F:$F=B7)*(加電履歴!$E:$E="畜種農業")*(加電履歴!$B:$B=MAXIFS(加電履歴!$B:$B,加電履歴!$F:$F,B7,加電履歴!$E:$E,"畜種農業")),0))),"")</f>
        <v/>
      </c>
    </row>
    <row r="8" ht="15.75" customHeight="1">
      <c r="A8" s="9" t="inlineStr">
        <is>
          <t>道央</t>
        </is>
      </c>
      <c r="B8" s="18" t="inlineStr">
        <is>
          <t>株式会社北海道酪農公社</t>
        </is>
      </c>
      <c r="C8" s="12" t="inlineStr">
        <is>
          <t>https://www.mainichi-milk.co.jp/</t>
        </is>
      </c>
      <c r="D8" s="18" t="inlineStr">
        <is>
          <t>北海道江別市工栄町16 (〒067-0051)</t>
        </is>
      </c>
      <c r="E8" s="18" t="inlineStr">
        <is>
          <t>011-384-6930</t>
        </is>
      </c>
      <c r="F8" s="9" t="inlineStr">
        <is>
          <t>江別市拠点の乳製品製造</t>
        </is>
      </c>
      <c r="G8" s="9" t="inlineStr">
        <is>
          <t>生乳処理量の変動に応じた人員配置</t>
        </is>
      </c>
      <c r="H8" s="9" t="inlineStr">
        <is>
          <t>製造現場で即戦力となる人材を活用し採用コストを抑制しながらラインを安定化</t>
        </is>
      </c>
      <c r="I8" s="9" t="inlineStr">
        <is>
          <t>本社</t>
        </is>
      </c>
      <c r="J8" s="9" t="inlineStr">
        <is>
          <t>代表取締役社長</t>
        </is>
      </c>
      <c r="K8" s="9" t="inlineStr">
        <is>
          <t>垣原 徳彰</t>
        </is>
      </c>
      <c r="L8" s="9" t="inlineStr">
        <is>
          <t>未確認</t>
        </is>
      </c>
      <c r="Q8" s="9" t="inlineStr">
        <is>
          <t>未開拓</t>
        </is>
      </c>
      <c r="R8" s="9" t="inlineStr">
        <is>
          <t>ターゲット</t>
        </is>
      </c>
      <c r="S8" s="9" t="inlineStr">
        <is>
          <t>リストアップ</t>
        </is>
      </c>
      <c r="AH8" s="9" t="inlineStr">
        <is>
          <t>営業推進部</t>
        </is>
      </c>
      <c r="AI8" s="9" t="inlineStr">
        <is>
          <t>武田 悦郎</t>
        </is>
      </c>
      <c r="AP8" s="9" t="inlineStr">
        <is>
          <t>未定</t>
        </is>
      </c>
      <c r="AQ8">
        <f>COUNTIFS(加電履歴!$F:$F,B8,加電履歴!$E:$E,"畜種農業")</f>
        <v/>
      </c>
      <c r="AR8" s="10">
        <f>IFERROR(IF(COUNTIFS(加電履歴!$F:$F,B8,加電履歴!$E:$E,"畜種農業")=0,"",MAXIFS(加電履歴!$B:$B,加電履歴!$F:$F,B8,加電履歴!$E:$E,"畜種農業")),"")</f>
        <v/>
      </c>
      <c r="AS8">
        <f>IFERROR(IF(COUNTIFS(加電履歴!$F:$F,B8,加電履歴!$E:$E,"畜種農業")=0,"",INDEX(加電履歴!$I:$I,MATCH(1,(加電履歴!$F:$F=B8)*(加電履歴!$E:$E="畜種農業")*(加電履歴!$B:$B=MAXIFS(加電履歴!$B:$B,加電履歴!$F:$F,B8,加電履歴!$E:$E,"畜種農業")),0))),"")</f>
        <v/>
      </c>
    </row>
    <row r="9" ht="15.75" customHeight="1">
      <c r="A9" s="9" t="inlineStr">
        <is>
          <t>道央</t>
        </is>
      </c>
      <c r="B9" s="18" t="inlineStr">
        <is>
          <t>株式会社太田ファーム</t>
        </is>
      </c>
      <c r="C9" s="12" t="inlineStr">
        <is>
          <t>https://ohtafarm-tamago.com/</t>
        </is>
      </c>
      <c r="D9" s="18" t="inlineStr">
        <is>
          <t>北海道江別市角山189 (〒067-0052)</t>
        </is>
      </c>
      <c r="E9" s="18" t="inlineStr">
        <is>
          <t>011-383-8245</t>
        </is>
      </c>
      <c r="F9" s="9" t="inlineStr">
        <is>
          <t>純国産鶏もみじ等の平飼い養鶏</t>
        </is>
      </c>
      <c r="G9" s="9" t="inlineStr">
        <is>
          <t>毎日の集卵と鶏舎管理の負担軽減</t>
        </is>
      </c>
      <c r="H9" s="9" t="inlineStr">
        <is>
          <t>養鶏特有の朝夕作業に即戦力として対応可能な特定技能人材の活用提案</t>
        </is>
      </c>
      <c r="I9" s="9" t="inlineStr">
        <is>
          <t>経営陣</t>
        </is>
      </c>
      <c r="J9" s="9" t="inlineStr">
        <is>
          <t>代表取締役</t>
        </is>
      </c>
      <c r="K9" s="9" t="inlineStr">
        <is>
          <t>太田 定昭</t>
        </is>
      </c>
      <c r="L9" s="9" t="inlineStr">
        <is>
          <t>未確認</t>
        </is>
      </c>
      <c r="Q9" s="9" t="inlineStr">
        <is>
          <t>未開拓</t>
        </is>
      </c>
      <c r="R9" s="9" t="inlineStr">
        <is>
          <t>ターゲット</t>
        </is>
      </c>
      <c r="S9" s="9" t="inlineStr">
        <is>
          <t>リストアップ</t>
        </is>
      </c>
      <c r="AH9" s="9" t="inlineStr">
        <is>
          <t>営業推進部</t>
        </is>
      </c>
      <c r="AI9" s="9" t="inlineStr">
        <is>
          <t>武田 悦郎</t>
        </is>
      </c>
      <c r="AP9" s="9" t="inlineStr">
        <is>
          <t>未定</t>
        </is>
      </c>
      <c r="AQ9">
        <f>COUNTIFS(加電履歴!$F:$F,B9,加電履歴!$E:$E,"畜種農業")</f>
        <v/>
      </c>
      <c r="AR9" s="10">
        <f>IFERROR(IF(COUNTIFS(加電履歴!$F:$F,B9,加電履歴!$E:$E,"畜種農業")=0,"",MAXIFS(加電履歴!$B:$B,加電履歴!$F:$F,B9,加電履歴!$E:$E,"畜種農業")),"")</f>
        <v/>
      </c>
      <c r="AS9">
        <f>IFERROR(IF(COUNTIFS(加電履歴!$F:$F,B9,加電履歴!$E:$E,"畜種農業")=0,"",INDEX(加電履歴!$I:$I,MATCH(1,(加電履歴!$F:$F=B9)*(加電履歴!$E:$E="畜種農業")*(加電履歴!$B:$B=MAXIFS(加電履歴!$B:$B,加電履歴!$F:$F,B9,加電履歴!$E:$E,"畜種農業")),0))),"")</f>
        <v/>
      </c>
    </row>
    <row r="10" ht="15.75" customHeight="1">
      <c r="A10" s="9" t="inlineStr">
        <is>
          <t>道央</t>
        </is>
      </c>
      <c r="B10" s="18" t="inlineStr">
        <is>
          <t>株式会社ユートピアアグリカルチャー (本店:日高町豊郷916-6)</t>
        </is>
      </c>
      <c r="C10" s="12" t="inlineStr">
        <is>
          <t>https://www.utopiaagriculture.com/</t>
        </is>
      </c>
      <c r="D10" s="18" t="inlineStr">
        <is>
          <t>北海道札幌市中央区北1条西10丁目1-21 ユーネットビル2階 ※札幌事務所</t>
        </is>
      </c>
      <c r="E10" s="18" t="inlineStr">
        <is>
          <t>011-590-4195</t>
        </is>
      </c>
      <c r="F10" s="9" t="inlineStr">
        <is>
          <t>放牧酪農と平飼い養鶏</t>
        </is>
      </c>
      <c r="G10" s="9" t="inlineStr">
        <is>
          <t>放牧管理や養鶏作業の担い手不足</t>
        </is>
      </c>
      <c r="H10" s="9" t="inlineStr">
        <is>
          <t>現場で即戦力となる人材を採用コストなしで提供する提案</t>
        </is>
      </c>
      <c r="I10" s="9" t="inlineStr">
        <is>
          <t>経営陣</t>
        </is>
      </c>
      <c r="J10" s="9" t="inlineStr">
        <is>
          <t>代表取締役</t>
        </is>
      </c>
      <c r="K10" s="9" t="inlineStr">
        <is>
          <t>長沼 真太郎</t>
        </is>
      </c>
      <c r="L10" s="9" t="inlineStr">
        <is>
          <t>未確認</t>
        </is>
      </c>
      <c r="Q10" s="9" t="inlineStr">
        <is>
          <t>未開拓</t>
        </is>
      </c>
      <c r="R10" s="9" t="inlineStr">
        <is>
          <t>ターゲット</t>
        </is>
      </c>
      <c r="S10" s="9" t="inlineStr">
        <is>
          <t>リストアップ</t>
        </is>
      </c>
      <c r="AH10" s="9" t="inlineStr">
        <is>
          <t>営業推進部</t>
        </is>
      </c>
      <c r="AI10" s="9" t="inlineStr">
        <is>
          <t>武田 悦郎</t>
        </is>
      </c>
      <c r="AP10" s="9" t="inlineStr">
        <is>
          <t>未定</t>
        </is>
      </c>
      <c r="AQ10">
        <f>COUNTIFS(加電履歴!$F:$F,B10,加電履歴!$E:$E,"畜種農業")</f>
        <v/>
      </c>
      <c r="AR10" s="10">
        <f>IFERROR(IF(COUNTIFS(加電履歴!$F:$F,B10,加電履歴!$E:$E,"畜種農業")=0,"",MAXIFS(加電履歴!$B:$B,加電履歴!$F:$F,B10,加電履歴!$E:$E,"畜種農業")),"")</f>
        <v/>
      </c>
      <c r="AS10">
        <f>IFERROR(IF(COUNTIFS(加電履歴!$F:$F,B10,加電履歴!$E:$E,"畜種農業")=0,"",INDEX(加電履歴!$I:$I,MATCH(1,(加電履歴!$F:$F=B10)*(加電履歴!$E:$E="畜種農業")*(加電履歴!$B:$B=MAXIFS(加電履歴!$B:$B,加電履歴!$F:$F,B10,加電履歴!$E:$E,"畜種農業")),0))),"")</f>
        <v/>
      </c>
    </row>
    <row r="11" ht="15.75" customHeight="1">
      <c r="A11" s="9" t="inlineStr">
        <is>
          <t>道央</t>
        </is>
      </c>
      <c r="B11" s="18" t="inlineStr">
        <is>
          <t>有限会社大塚農場</t>
        </is>
      </c>
      <c r="C11" s="12" t="inlineStr">
        <is>
          <t>https://www.oh-farm.co.jp/</t>
        </is>
      </c>
      <c r="D11" s="18" t="inlineStr">
        <is>
          <t>北海道石狩郡当別町字東裏3122番地</t>
        </is>
      </c>
      <c r="E11" s="18" t="inlineStr">
        <is>
          <t>※公式サイト経由 / 0133-23-2831 ※要確認</t>
        </is>
      </c>
      <c r="F11" s="9" t="inlineStr">
        <is>
          <t>特別栽培農産物と畜産の複合経営</t>
        </is>
      </c>
      <c r="G11" s="9" t="inlineStr">
        <is>
          <t>多品目栽培と畜産管理の同時並行による多忙</t>
        </is>
      </c>
      <c r="H11" s="9" t="inlineStr">
        <is>
          <t>複合農業の多様な作業に即戦力で対応できる外国人材の導入提案</t>
        </is>
      </c>
      <c r="I11" s="9" t="inlineStr">
        <is>
          <t>管理部</t>
        </is>
      </c>
      <c r="J11" s="9" t="inlineStr">
        <is>
          <t>代表取締役</t>
        </is>
      </c>
      <c r="K11" s="9" t="inlineStr">
        <is>
          <t>大塚 慎太郎</t>
        </is>
      </c>
      <c r="L11" s="9" t="inlineStr">
        <is>
          <t>未確認</t>
        </is>
      </c>
      <c r="Q11" s="9" t="inlineStr">
        <is>
          <t>未開拓</t>
        </is>
      </c>
      <c r="R11" s="9" t="inlineStr">
        <is>
          <t>ターゲット</t>
        </is>
      </c>
      <c r="S11" s="9" t="inlineStr">
        <is>
          <t>リストアップ</t>
        </is>
      </c>
      <c r="AH11" s="9" t="inlineStr">
        <is>
          <t>営業推進部</t>
        </is>
      </c>
      <c r="AI11" s="9" t="inlineStr">
        <is>
          <t>武田 悦郎</t>
        </is>
      </c>
      <c r="AP11" s="9" t="inlineStr">
        <is>
          <t>未定</t>
        </is>
      </c>
      <c r="AQ11">
        <f>COUNTIFS(加電履歴!$F:$F,B11,加電履歴!$E:$E,"畜種農業")</f>
        <v/>
      </c>
      <c r="AR11" s="10">
        <f>IFERROR(IF(COUNTIFS(加電履歴!$F:$F,B11,加電履歴!$E:$E,"畜種農業")=0,"",MAXIFS(加電履歴!$B:$B,加電履歴!$F:$F,B11,加電履歴!$E:$E,"畜種農業")),"")</f>
        <v/>
      </c>
      <c r="AS11">
        <f>IFERROR(IF(COUNTIFS(加電履歴!$F:$F,B11,加電履歴!$E:$E,"畜種農業")=0,"",INDEX(加電履歴!$I:$I,MATCH(1,(加電履歴!$F:$F=B11)*(加電履歴!$E:$E="畜種農業")*(加電履歴!$B:$B=MAXIFS(加電履歴!$B:$B,加電履歴!$F:$F,B11,加電履歴!$E:$E,"畜種農業")),0))),"")</f>
        <v/>
      </c>
    </row>
    <row r="12" ht="15.75" customHeight="1">
      <c r="A12" s="9" t="inlineStr">
        <is>
          <t>道央</t>
        </is>
      </c>
      <c r="B12" s="18" t="inlineStr">
        <is>
          <t>有限会社山中畜産</t>
        </is>
      </c>
      <c r="C12" s="12" t="inlineStr">
        <is>
          <t>http://www.yamanaka-pork.com/</t>
        </is>
      </c>
      <c r="D12" s="18" t="inlineStr">
        <is>
          <t>北海道夕張郡長沼町西2線北1番地 (〒069-1318)</t>
        </is>
      </c>
      <c r="E12" s="18" t="inlineStr">
        <is>
          <t>0123-88-2146</t>
        </is>
      </c>
      <c r="F12" s="9" t="inlineStr">
        <is>
          <t>SPF認定豚生産</t>
        </is>
      </c>
      <c r="G12" s="9" t="inlineStr">
        <is>
          <t>母豚の大規模管理における人員確保</t>
        </is>
      </c>
      <c r="H12" s="9" t="inlineStr">
        <is>
          <t>大規模養豚のルーティンワークを即戦力として支える特定技能人材の提供</t>
        </is>
      </c>
      <c r="I12" s="9" t="inlineStr">
        <is>
          <t>本社</t>
        </is>
      </c>
      <c r="J12" s="9" t="inlineStr">
        <is>
          <t>代表取締役</t>
        </is>
      </c>
      <c r="K12" s="9" t="inlineStr">
        <is>
          <t>山中 克人</t>
        </is>
      </c>
      <c r="L12" s="9" t="inlineStr">
        <is>
          <t>未確認</t>
        </is>
      </c>
      <c r="Q12" s="9" t="inlineStr">
        <is>
          <t>未開拓</t>
        </is>
      </c>
      <c r="R12" s="9" t="inlineStr">
        <is>
          <t>ターゲット</t>
        </is>
      </c>
      <c r="S12" s="9" t="inlineStr">
        <is>
          <t>リストアップ</t>
        </is>
      </c>
      <c r="AH12" s="9" t="inlineStr">
        <is>
          <t>営業推進部</t>
        </is>
      </c>
      <c r="AI12" s="9" t="inlineStr">
        <is>
          <t>武田 悦郎</t>
        </is>
      </c>
      <c r="AP12" s="9" t="inlineStr">
        <is>
          <t>未定</t>
        </is>
      </c>
      <c r="AQ12">
        <f>COUNTIFS(加電履歴!$F:$F,B12,加電履歴!$E:$E,"畜種農業")</f>
        <v/>
      </c>
      <c r="AR12" s="10">
        <f>IFERROR(IF(COUNTIFS(加電履歴!$F:$F,B12,加電履歴!$E:$E,"畜種農業")=0,"",MAXIFS(加電履歴!$B:$B,加電履歴!$F:$F,B12,加電履歴!$E:$E,"畜種農業")),"")</f>
        <v/>
      </c>
      <c r="AS12">
        <f>IFERROR(IF(COUNTIFS(加電履歴!$F:$F,B12,加電履歴!$E:$E,"畜種農業")=0,"",INDEX(加電履歴!$I:$I,MATCH(1,(加電履歴!$F:$F=B12)*(加電履歴!$E:$E="畜種農業")*(加電履歴!$B:$B=MAXIFS(加電履歴!$B:$B,加電履歴!$F:$F,B12,加電履歴!$E:$E,"畜種農業")),0))),"")</f>
        <v/>
      </c>
    </row>
    <row r="13" ht="15.75" customHeight="1">
      <c r="A13" s="9" t="inlineStr">
        <is>
          <t>道央</t>
        </is>
      </c>
      <c r="B13" s="18" t="inlineStr">
        <is>
          <t>有限会社福屋牧場</t>
        </is>
      </c>
      <c r="C13" s="12" t="inlineStr">
        <is>
          <t>https://www.elmlane.co.jp/</t>
        </is>
      </c>
      <c r="D13" s="18" t="inlineStr">
        <is>
          <t>北海道恵庭市上山口653-4 (〒061-1404)</t>
        </is>
      </c>
      <c r="E13" s="18" t="inlineStr">
        <is>
          <t>0123-32-2157</t>
        </is>
      </c>
      <c r="F13" s="9" t="inlineStr">
        <is>
          <t>コンテスト受賞歴のある酪農/ブリーダー</t>
        </is>
      </c>
      <c r="G13" s="9" t="inlineStr">
        <is>
          <t>共進会レベルの牛群管理と日常作業の両立</t>
        </is>
      </c>
      <c r="H13" s="9" t="inlineStr">
        <is>
          <t>高い技術要求に応えるポテンシャルのある人材を即戦力として定着させる提案</t>
        </is>
      </c>
      <c r="I13" s="9" t="inlineStr">
        <is>
          <t>経営陣</t>
        </is>
      </c>
      <c r="J13" s="9" t="inlineStr">
        <is>
          <t>代表取締役</t>
        </is>
      </c>
      <c r="K13" s="9" t="inlineStr">
        <is>
          <t>福屋 栄人</t>
        </is>
      </c>
      <c r="L13" s="9" t="inlineStr">
        <is>
          <t>未確認</t>
        </is>
      </c>
      <c r="Q13" s="9" t="inlineStr">
        <is>
          <t>未開拓</t>
        </is>
      </c>
      <c r="R13" s="9" t="inlineStr">
        <is>
          <t>ターゲット</t>
        </is>
      </c>
      <c r="S13" s="9" t="inlineStr">
        <is>
          <t>リストアップ</t>
        </is>
      </c>
      <c r="AH13" s="9" t="inlineStr">
        <is>
          <t>営業推進部</t>
        </is>
      </c>
      <c r="AI13" s="9" t="inlineStr">
        <is>
          <t>武田 悦郎</t>
        </is>
      </c>
      <c r="AP13" s="9" t="inlineStr">
        <is>
          <t>未定</t>
        </is>
      </c>
      <c r="AQ13">
        <f>COUNTIFS(加電履歴!$F:$F,B13,加電履歴!$E:$E,"畜種農業")</f>
        <v/>
      </c>
      <c r="AR13" s="10">
        <f>IFERROR(IF(COUNTIFS(加電履歴!$F:$F,B13,加電履歴!$E:$E,"畜種農業")=0,"",MAXIFS(加電履歴!$B:$B,加電履歴!$F:$F,B13,加電履歴!$E:$E,"畜種農業")),"")</f>
        <v/>
      </c>
      <c r="AS13">
        <f>IFERROR(IF(COUNTIFS(加電履歴!$F:$F,B13,加電履歴!$E:$E,"畜種農業")=0,"",INDEX(加電履歴!$I:$I,MATCH(1,(加電履歴!$F:$F=B13)*(加電履歴!$E:$E="畜種農業")*(加電履歴!$B:$B=MAXIFS(加電履歴!$B:$B,加電履歴!$F:$F,B13,加電履歴!$E:$E,"畜種農業")),0))),"")</f>
        <v/>
      </c>
    </row>
    <row r="14" ht="15.75" customHeight="1">
      <c r="A14" s="9" t="inlineStr">
        <is>
          <t>道央</t>
        </is>
      </c>
      <c r="B14" s="18" t="inlineStr">
        <is>
          <t>株式会社ホクリヨウ(本社)</t>
        </is>
      </c>
      <c r="C14" s="12" t="inlineStr">
        <is>
          <t>https://www.hokuryo.co.jp/</t>
        </is>
      </c>
      <c r="D14" s="18" t="inlineStr">
        <is>
          <t>北海道札幌市白石区中央2条3丁目6番15号 (〒003-0012)</t>
        </is>
      </c>
      <c r="E14" s="18" t="inlineStr">
        <is>
          <t>011-812-1131</t>
        </is>
      </c>
      <c r="F14" s="9" t="inlineStr">
        <is>
          <t>大規模鶏卵生産・販売加工卵製造</t>
        </is>
      </c>
      <c r="G14" s="9" t="inlineStr">
        <is>
          <t>道内トップクラスの生産規模における人員配置</t>
        </is>
      </c>
      <c r="H14" s="9" t="inlineStr">
        <is>
          <t>大規模工場のルーティンを即戦力で支える特定技能人材の提案</t>
        </is>
      </c>
      <c r="I14" s="9" t="inlineStr">
        <is>
          <t>管理部</t>
        </is>
      </c>
      <c r="J14" s="9" t="inlineStr">
        <is>
          <t>代表取締役社長</t>
        </is>
      </c>
      <c r="K14" s="9" t="inlineStr">
        <is>
          <t>米山 大介</t>
        </is>
      </c>
      <c r="L14" s="9" t="inlineStr">
        <is>
          <t>未確認</t>
        </is>
      </c>
      <c r="Q14" s="9" t="inlineStr">
        <is>
          <t>未開拓</t>
        </is>
      </c>
      <c r="R14" s="9" t="inlineStr">
        <is>
          <t>ターゲット</t>
        </is>
      </c>
      <c r="S14" s="9" t="inlineStr">
        <is>
          <t>リストアップ</t>
        </is>
      </c>
      <c r="AH14" s="9" t="inlineStr">
        <is>
          <t>営業推進部</t>
        </is>
      </c>
      <c r="AI14" s="9" t="inlineStr">
        <is>
          <t>武田 悦郎</t>
        </is>
      </c>
      <c r="AP14" s="9" t="inlineStr">
        <is>
          <t>未定</t>
        </is>
      </c>
      <c r="AQ14">
        <f>COUNTIFS(加電履歴!$F:$F,B14,加電履歴!$E:$E,"畜種農業")</f>
        <v/>
      </c>
      <c r="AR14" s="10">
        <f>IFERROR(IF(COUNTIFS(加電履歴!$F:$F,B14,加電履歴!$E:$E,"畜種農業")=0,"",MAXIFS(加電履歴!$B:$B,加電履歴!$F:$F,B14,加電履歴!$E:$E,"畜種農業")),"")</f>
        <v/>
      </c>
      <c r="AS14">
        <f>IFERROR(IF(COUNTIFS(加電履歴!$F:$F,B14,加電履歴!$E:$E,"畜種農業")=0,"",INDEX(加電履歴!$I:$I,MATCH(1,(加電履歴!$F:$F=B14)*(加電履歴!$E:$E="畜種農業")*(加電履歴!$B:$B=MAXIFS(加電履歴!$B:$B,加電履歴!$F:$F,B14,加電履歴!$E:$E,"畜種農業")),0))),"")</f>
        <v/>
      </c>
    </row>
    <row r="15" ht="15.75" customHeight="1">
      <c r="A15" s="9" t="inlineStr">
        <is>
          <t>道央</t>
        </is>
      </c>
      <c r="B15" s="18" t="inlineStr">
        <is>
          <t>株式会社ホクリヨウ 千歳GP</t>
        </is>
      </c>
      <c r="C15" s="12" t="inlineStr">
        <is>
          <t>https://www.hokuryo.co.jp/</t>
        </is>
      </c>
      <c r="D15" s="18" t="inlineStr">
        <is>
          <t>北海道千歳市駒里2208 (〒066-0011)</t>
        </is>
      </c>
      <c r="E15" s="18" t="inlineStr">
        <is>
          <t>0123-40-7575</t>
        </is>
      </c>
      <c r="F15" s="9" t="inlineStr">
        <is>
          <t>大規模鶏卵集荷・パッキング</t>
        </is>
      </c>
      <c r="G15" s="9" t="inlineStr">
        <is>
          <t>集卵およびパッキング工程の省力化</t>
        </is>
      </c>
      <c r="H15" s="9" t="inlineStr">
        <is>
          <t>採用コスト不要でパッキングラインの安定稼働を実現</t>
        </is>
      </c>
      <c r="I15" s="9" t="inlineStr">
        <is>
          <t>工場長室</t>
        </is>
      </c>
      <c r="J15" s="9" t="inlineStr">
        <is>
          <t>工場長</t>
        </is>
      </c>
      <c r="K15" s="9" t="inlineStr">
        <is>
          <t>不明</t>
        </is>
      </c>
      <c r="L15" s="9" t="inlineStr">
        <is>
          <t>未確認</t>
        </is>
      </c>
      <c r="Q15" s="9" t="inlineStr">
        <is>
          <t>未開拓</t>
        </is>
      </c>
      <c r="R15" s="9" t="inlineStr">
        <is>
          <t>ターゲット</t>
        </is>
      </c>
      <c r="S15" s="9" t="inlineStr">
        <is>
          <t>リストアップ</t>
        </is>
      </c>
      <c r="AH15" s="9" t="inlineStr">
        <is>
          <t>営業推進部</t>
        </is>
      </c>
      <c r="AI15" s="9" t="inlineStr">
        <is>
          <t>武田 悦郎</t>
        </is>
      </c>
      <c r="AP15" s="9" t="inlineStr">
        <is>
          <t>未定</t>
        </is>
      </c>
      <c r="AQ15">
        <f>COUNTIFS(加電履歴!$F:$F,B15,加電履歴!$E:$E,"畜種農業")</f>
        <v/>
      </c>
      <c r="AR15" s="10">
        <f>IFERROR(IF(COUNTIFS(加電履歴!$F:$F,B15,加電履歴!$E:$E,"畜種農業")=0,"",MAXIFS(加電履歴!$B:$B,加電履歴!$F:$F,B15,加電履歴!$E:$E,"畜種農業")),"")</f>
        <v/>
      </c>
      <c r="AS15">
        <f>IFERROR(IF(COUNTIFS(加電履歴!$F:$F,B15,加電履歴!$E:$E,"畜種農業")=0,"",INDEX(加電履歴!$I:$I,MATCH(1,(加電履歴!$F:$F=B15)*(加電履歴!$E:$E="畜種農業")*(加電履歴!$B:$B=MAXIFS(加電履歴!$B:$B,加電履歴!$F:$F,B15,加電履歴!$E:$E,"畜種農業")),0))),"")</f>
        <v/>
      </c>
    </row>
    <row r="16" ht="15.75" customHeight="1">
      <c r="A16" s="9" t="inlineStr">
        <is>
          <t>道央</t>
        </is>
      </c>
      <c r="B16" s="18" t="inlineStr">
        <is>
          <t>ホクレンくみあいファーム株式会社 恵庭農場</t>
        </is>
      </c>
      <c r="C16" s="12" t="inlineStr">
        <is>
          <t>http://kumiai-farm.co.jp/</t>
        </is>
      </c>
      <c r="D16" s="18" t="inlineStr">
        <is>
          <t>北海道恵庭市北島27-1</t>
        </is>
      </c>
      <c r="E16" s="18" t="inlineStr">
        <is>
          <t>0123-37-2231</t>
        </is>
      </c>
      <c r="F16" s="9" t="inlineStr">
        <is>
          <t>養鶏事業・鶏卵生産</t>
        </is>
      </c>
      <c r="G16" s="9" t="inlineStr">
        <is>
          <t>大規模農場における安定的な人員確保</t>
        </is>
      </c>
      <c r="H16" s="9" t="inlineStr">
        <is>
          <t>即戦力配置による生産体制の強化</t>
        </is>
      </c>
      <c r="I16" s="9" t="inlineStr">
        <is>
          <t>管理部</t>
        </is>
      </c>
      <c r="J16" s="9" t="inlineStr">
        <is>
          <t>農場長</t>
        </is>
      </c>
      <c r="K16" s="9" t="inlineStr">
        <is>
          <t>不明</t>
        </is>
      </c>
      <c r="L16" s="9" t="inlineStr">
        <is>
          <t>未確認</t>
        </is>
      </c>
      <c r="Q16" s="9" t="inlineStr">
        <is>
          <t>未開拓</t>
        </is>
      </c>
      <c r="R16" s="9" t="inlineStr">
        <is>
          <t>ターゲット</t>
        </is>
      </c>
      <c r="S16" s="9" t="inlineStr">
        <is>
          <t>リストアップ</t>
        </is>
      </c>
      <c r="AH16" s="9" t="inlineStr">
        <is>
          <t>営業推進部</t>
        </is>
      </c>
      <c r="AI16" s="9" t="inlineStr">
        <is>
          <t>武田 悦郎</t>
        </is>
      </c>
      <c r="AP16" s="9" t="inlineStr">
        <is>
          <t>未定</t>
        </is>
      </c>
      <c r="AQ16">
        <f>COUNTIFS(加電履歴!$F:$F,B16,加電履歴!$E:$E,"畜種農業")</f>
        <v/>
      </c>
      <c r="AR16" s="10">
        <f>IFERROR(IF(COUNTIFS(加電履歴!$F:$F,B16,加電履歴!$E:$E,"畜種農業")=0,"",MAXIFS(加電履歴!$B:$B,加電履歴!$F:$F,B16,加電履歴!$E:$E,"畜種農業")),"")</f>
        <v/>
      </c>
      <c r="AS16">
        <f>IFERROR(IF(COUNTIFS(加電履歴!$F:$F,B16,加電履歴!$E:$E,"畜種農業")=0,"",INDEX(加電履歴!$I:$I,MATCH(1,(加電履歴!$F:$F=B16)*(加電履歴!$E:$E="畜種農業")*(加電履歴!$B:$B=MAXIFS(加電履歴!$B:$B,加電履歴!$F:$F,B16,加電履歴!$E:$E,"畜種農業")),0))),"")</f>
        <v/>
      </c>
    </row>
    <row r="17" ht="15.75" customHeight="1">
      <c r="A17" s="9" t="inlineStr">
        <is>
          <t>道央</t>
        </is>
      </c>
      <c r="B17" s="18" t="inlineStr">
        <is>
          <t>有限会社小林牧場</t>
        </is>
      </c>
      <c r="C17" s="12" t="inlineStr">
        <is>
          <t>https://kobayashibokujo.com/</t>
        </is>
      </c>
      <c r="D17" s="18" t="inlineStr">
        <is>
          <t>北海道江別市西野幌668番地</t>
        </is>
      </c>
      <c r="E17" s="18" t="inlineStr">
        <is>
          <t>011-375-1115</t>
        </is>
      </c>
      <c r="F17" s="9" t="inlineStr">
        <is>
          <t>フリーストール牛舎/小林牧場物語ブランド</t>
        </is>
      </c>
      <c r="G17" s="9" t="inlineStr">
        <is>
          <t>ブランド維持のための衛生管理と乳質管理</t>
        </is>
      </c>
      <c r="H17" s="9" t="inlineStr">
        <is>
          <t>清潔な牛舎環境を維持するルーティン作業に即戦力を充てる提案</t>
        </is>
      </c>
      <c r="I17" s="9" t="inlineStr">
        <is>
          <t>経営陣</t>
        </is>
      </c>
      <c r="J17" s="9" t="inlineStr">
        <is>
          <t>代表取締役</t>
        </is>
      </c>
      <c r="K17" s="9" t="inlineStr">
        <is>
          <t>小林 紀彦</t>
        </is>
      </c>
      <c r="L17" s="9" t="inlineStr">
        <is>
          <t>未確認</t>
        </is>
      </c>
      <c r="Q17" s="9" t="inlineStr">
        <is>
          <t>未開拓</t>
        </is>
      </c>
      <c r="R17" s="9" t="inlineStr">
        <is>
          <t>ターゲット</t>
        </is>
      </c>
      <c r="S17" s="9" t="inlineStr">
        <is>
          <t>リストアップ</t>
        </is>
      </c>
      <c r="AH17" s="9" t="inlineStr">
        <is>
          <t>営業推進部</t>
        </is>
      </c>
      <c r="AI17" s="9" t="inlineStr">
        <is>
          <t>武田 悦郎</t>
        </is>
      </c>
      <c r="AP17" s="9" t="inlineStr">
        <is>
          <t>未定</t>
        </is>
      </c>
      <c r="AQ17">
        <f>COUNTIFS(加電履歴!$F:$F,B17,加電履歴!$E:$E,"畜種農業")</f>
        <v/>
      </c>
      <c r="AR17" s="10">
        <f>IFERROR(IF(COUNTIFS(加電履歴!$F:$F,B17,加電履歴!$E:$E,"畜種農業")=0,"",MAXIFS(加電履歴!$B:$B,加電履歴!$F:$F,B17,加電履歴!$E:$E,"畜種農業")),"")</f>
        <v/>
      </c>
      <c r="AS17">
        <f>IFERROR(IF(COUNTIFS(加電履歴!$F:$F,B17,加電履歴!$E:$E,"畜種農業")=0,"",INDEX(加電履歴!$I:$I,MATCH(1,(加電履歴!$F:$F=B17)*(加電履歴!$E:$E="畜種農業")*(加電履歴!$B:$B=MAXIFS(加電履歴!$B:$B,加電履歴!$F:$F,B17,加電履歴!$E:$E,"畜種農業")),0))),"")</f>
        <v/>
      </c>
    </row>
    <row r="18" ht="15.75" customHeight="1">
      <c r="A18" s="9" t="inlineStr">
        <is>
          <t>道央</t>
        </is>
      </c>
      <c r="B18" s="18" t="inlineStr">
        <is>
          <t>有限会社池端牧場</t>
        </is>
      </c>
      <c r="C18" s="12" t="inlineStr">
        <is>
          <t>https://ikebata-farm.com/</t>
        </is>
      </c>
      <c r="D18" s="18" t="inlineStr">
        <is>
          <t>北海道石狩市樽川97-11 (〒061-3251)</t>
        </is>
      </c>
      <c r="E18" s="18" t="inlineStr">
        <is>
          <t>0133-73-8538</t>
        </is>
      </c>
      <c r="F18" s="9" t="inlineStr">
        <is>
          <t>土壌分析を活用した酪農/堆肥販売</t>
        </is>
      </c>
      <c r="G18" s="9" t="inlineStr">
        <is>
          <t>活性誘導水を用いた環境保全型酪農の維持</t>
        </is>
      </c>
      <c r="H18" s="9" t="inlineStr">
        <is>
          <t>環境に配慮した細やかな飼養管理を即戦力として担える人材の提案</t>
        </is>
      </c>
      <c r="I18" s="9" t="inlineStr">
        <is>
          <t>経営陣</t>
        </is>
      </c>
      <c r="J18" s="9" t="inlineStr">
        <is>
          <t>代表取締役</t>
        </is>
      </c>
      <c r="K18" s="9" t="inlineStr">
        <is>
          <t>池端 規明</t>
        </is>
      </c>
      <c r="L18" s="9" t="inlineStr">
        <is>
          <t>未確認</t>
        </is>
      </c>
      <c r="Q18" s="9" t="inlineStr">
        <is>
          <t>未開拓</t>
        </is>
      </c>
      <c r="R18" s="9" t="inlineStr">
        <is>
          <t>ターゲット</t>
        </is>
      </c>
      <c r="S18" s="9" t="inlineStr">
        <is>
          <t>リストアップ</t>
        </is>
      </c>
      <c r="AH18" s="9" t="inlineStr">
        <is>
          <t>営業推進部</t>
        </is>
      </c>
      <c r="AI18" s="9" t="inlineStr">
        <is>
          <t>武田 悦郎</t>
        </is>
      </c>
      <c r="AP18" s="9" t="inlineStr">
        <is>
          <t>未定</t>
        </is>
      </c>
      <c r="AQ18">
        <f>COUNTIFS(加電履歴!$F:$F,B18,加電履歴!$E:$E,"畜種農業")</f>
        <v/>
      </c>
      <c r="AR18" s="10">
        <f>IFERROR(IF(COUNTIFS(加電履歴!$F:$F,B18,加電履歴!$E:$E,"畜種農業")=0,"",MAXIFS(加電履歴!$B:$B,加電履歴!$F:$F,B18,加電履歴!$E:$E,"畜種農業")),"")</f>
        <v/>
      </c>
      <c r="AS18">
        <f>IFERROR(IF(COUNTIFS(加電履歴!$F:$F,B18,加電履歴!$E:$E,"畜種農業")=0,"",INDEX(加電履歴!$I:$I,MATCH(1,(加電履歴!$F:$F=B18)*(加電履歴!$E:$E="畜種農業")*(加電履歴!$B:$B=MAXIFS(加電履歴!$B:$B,加電履歴!$F:$F,B18,加電履歴!$E:$E,"畜種農業")),0))),"")</f>
        <v/>
      </c>
    </row>
    <row r="19" ht="15.75" customHeight="1">
      <c r="A19" s="9" t="inlineStr">
        <is>
          <t>道央</t>
        </is>
      </c>
      <c r="B19" s="18" t="inlineStr">
        <is>
          <t>一般社団法人Agricola (ファームアグリコラ)</t>
        </is>
      </c>
      <c r="C19" s="12" t="inlineStr">
        <is>
          <t>https://www.agricola.jp/</t>
        </is>
      </c>
      <c r="D19" s="18" t="inlineStr">
        <is>
          <t>北海道石狩郡当別町字金沢1779-17</t>
        </is>
      </c>
      <c r="E19" s="18" t="inlineStr">
        <is>
          <t>0133-27-5551</t>
        </is>
      </c>
      <c r="F19" s="9" t="inlineStr">
        <is>
          <t>平飼い卵「あこがれ」生産</t>
        </is>
      </c>
      <c r="G19" s="9" t="inlineStr">
        <is>
          <t>丁寧な飼育管理と販売業務の兼務</t>
        </is>
      </c>
      <c r="H19" s="9" t="inlineStr">
        <is>
          <t>飼育管理専任の即戦力を配置し経営陣が販売拡販に注力できる環境構築</t>
        </is>
      </c>
      <c r="I19" s="9" t="inlineStr">
        <is>
          <t>代表室</t>
        </is>
      </c>
      <c r="J19" s="9" t="inlineStr">
        <is>
          <t>代表</t>
        </is>
      </c>
      <c r="K19" s="9" t="inlineStr">
        <is>
          <t>水野 智大</t>
        </is>
      </c>
      <c r="L19" s="9" t="inlineStr">
        <is>
          <t>未確認</t>
        </is>
      </c>
      <c r="Q19" s="9" t="inlineStr">
        <is>
          <t>未開拓</t>
        </is>
      </c>
      <c r="R19" s="9" t="inlineStr">
        <is>
          <t>ターゲット</t>
        </is>
      </c>
      <c r="S19" s="9" t="inlineStr">
        <is>
          <t>リストアップ</t>
        </is>
      </c>
      <c r="AH19" s="9" t="inlineStr">
        <is>
          <t>営業推進部</t>
        </is>
      </c>
      <c r="AI19" s="9" t="inlineStr">
        <is>
          <t>武田 悦郎</t>
        </is>
      </c>
      <c r="AP19" s="9" t="inlineStr">
        <is>
          <t>未定</t>
        </is>
      </c>
      <c r="AQ19">
        <f>COUNTIFS(加電履歴!$F:$F,B19,加電履歴!$E:$E,"畜種農業")</f>
        <v/>
      </c>
      <c r="AR19" s="10">
        <f>IFERROR(IF(COUNTIFS(加電履歴!$F:$F,B19,加電履歴!$E:$E,"畜種農業")=0,"",MAXIFS(加電履歴!$B:$B,加電履歴!$F:$F,B19,加電履歴!$E:$E,"畜種農業")),"")</f>
        <v/>
      </c>
      <c r="AS19">
        <f>IFERROR(IF(COUNTIFS(加電履歴!$F:$F,B19,加電履歴!$E:$E,"畜種農業")=0,"",INDEX(加電履歴!$I:$I,MATCH(1,(加電履歴!$F:$F=B19)*(加電履歴!$E:$E="畜種農業")*(加電履歴!$B:$B=MAXIFS(加電履歴!$B:$B,加電履歴!$F:$F,B19,加電履歴!$E:$E,"畜種農業")),0))),"")</f>
        <v/>
      </c>
    </row>
    <row r="20" ht="15.75" customHeight="1">
      <c r="A20" s="9" t="inlineStr">
        <is>
          <t>道央</t>
        </is>
      </c>
      <c r="B20" s="18" t="inlineStr">
        <is>
          <t>株式会社北海道中央牧場</t>
        </is>
      </c>
      <c r="C20" s="12" t="inlineStr">
        <is>
          <t>https://hokkaido-chuobokujo.com/</t>
        </is>
      </c>
      <c r="D20" s="18" t="inlineStr">
        <is>
          <t>北海道北広島市北進町1丁目2-2 北広島ターミナルビル4階</t>
        </is>
      </c>
      <c r="E20" s="18" t="inlineStr">
        <is>
          <t>011-372-0073</t>
        </is>
      </c>
      <c r="F20" s="9" t="inlineStr">
        <is>
          <t>道央圏での牧場経営</t>
        </is>
      </c>
      <c r="G20" s="9" t="inlineStr">
        <is>
          <t>従業員不足への迅速な対応</t>
        </is>
      </c>
      <c r="H20" s="9" t="inlineStr">
        <is>
          <t>採用コストをかけずに即戦力を確保する提案</t>
        </is>
      </c>
      <c r="I20" s="9" t="inlineStr">
        <is>
          <t>経営陣</t>
        </is>
      </c>
      <c r="J20" s="9" t="inlineStr">
        <is>
          <t>代表</t>
        </is>
      </c>
      <c r="K20" s="9" t="inlineStr">
        <is>
          <t>出田 純治</t>
        </is>
      </c>
      <c r="L20" s="9" t="inlineStr">
        <is>
          <t>未確認</t>
        </is>
      </c>
      <c r="Q20" s="9" t="inlineStr">
        <is>
          <t>未開拓</t>
        </is>
      </c>
      <c r="R20" s="9" t="inlineStr">
        <is>
          <t>ターゲット</t>
        </is>
      </c>
      <c r="S20" s="9" t="inlineStr">
        <is>
          <t>リストアップ</t>
        </is>
      </c>
      <c r="AH20" s="9" t="inlineStr">
        <is>
          <t>営業推進部</t>
        </is>
      </c>
      <c r="AI20" s="9" t="inlineStr">
        <is>
          <t>武田 悦郎</t>
        </is>
      </c>
      <c r="AP20" s="9" t="inlineStr">
        <is>
          <t>未定</t>
        </is>
      </c>
      <c r="AQ20">
        <f>COUNTIFS(加電履歴!$F:$F,B20,加電履歴!$E:$E,"畜種農業")</f>
        <v/>
      </c>
      <c r="AR20" s="10">
        <f>IFERROR(IF(COUNTIFS(加電履歴!$F:$F,B20,加電履歴!$E:$E,"畜種農業")=0,"",MAXIFS(加電履歴!$B:$B,加電履歴!$F:$F,B20,加電履歴!$E:$E,"畜種農業")),"")</f>
        <v/>
      </c>
      <c r="AS20">
        <f>IFERROR(IF(COUNTIFS(加電履歴!$F:$F,B20,加電履歴!$E:$E,"畜種農業")=0,"",INDEX(加電履歴!$I:$I,MATCH(1,(加電履歴!$F:$F=B20)*(加電履歴!$E:$E="畜種農業")*(加電履歴!$B:$B=MAXIFS(加電履歴!$B:$B,加電履歴!$F:$F,B20,加電履歴!$E:$E,"畜種農業")),0))),"")</f>
        <v/>
      </c>
    </row>
    <row r="21" ht="15.75" customHeight="1">
      <c r="A21" s="9" t="inlineStr">
        <is>
          <t>道央</t>
        </is>
      </c>
      <c r="B21" s="18" t="inlineStr">
        <is>
          <t>有限会社長沼ファーム</t>
        </is>
      </c>
      <c r="C21" s="12" t="inlineStr">
        <is>
          <t>https://www.naganumafarm.jp/</t>
        </is>
      </c>
      <c r="D21" s="18" t="inlineStr">
        <is>
          <t>北海道夕張郡長沼町東7線北5 (〒069-1317)</t>
        </is>
      </c>
      <c r="E21" s="18" t="inlineStr">
        <is>
          <t>0123-88-3698</t>
        </is>
      </c>
      <c r="F21" s="9" t="inlineStr">
        <is>
          <t>ブランド和牛「馬追和牛」生産</t>
        </is>
      </c>
      <c r="G21" s="9" t="inlineStr">
        <is>
          <t>高品質な肉牛のきめ細やかな肥育管理</t>
        </is>
      </c>
      <c r="H21" s="9" t="inlineStr">
        <is>
          <t>肥育ルーティンを即戦力で支援しブランド維持に貢献</t>
        </is>
      </c>
      <c r="I21" s="9" t="inlineStr">
        <is>
          <t>本社</t>
        </is>
      </c>
      <c r="J21" s="9" t="inlineStr">
        <is>
          <t>代表取締役</t>
        </is>
      </c>
      <c r="K21" s="9" t="inlineStr">
        <is>
          <t>不明</t>
        </is>
      </c>
      <c r="L21" s="9" t="inlineStr">
        <is>
          <t>未確認</t>
        </is>
      </c>
      <c r="Q21" s="9" t="inlineStr">
        <is>
          <t>未開拓</t>
        </is>
      </c>
      <c r="R21" s="9" t="inlineStr">
        <is>
          <t>ターゲット</t>
        </is>
      </c>
      <c r="S21" s="9" t="inlineStr">
        <is>
          <t>リストアップ</t>
        </is>
      </c>
      <c r="AH21" s="9" t="inlineStr">
        <is>
          <t>営業推進部</t>
        </is>
      </c>
      <c r="AI21" s="9" t="inlineStr">
        <is>
          <t>武田 悦郎</t>
        </is>
      </c>
      <c r="AP21" s="9" t="inlineStr">
        <is>
          <t>未定</t>
        </is>
      </c>
      <c r="AQ21">
        <f>COUNTIFS(加電履歴!$F:$F,B21,加電履歴!$E:$E,"畜種農業")</f>
        <v/>
      </c>
      <c r="AR21" s="10">
        <f>IFERROR(IF(COUNTIFS(加電履歴!$F:$F,B21,加電履歴!$E:$E,"畜種農業")=0,"",MAXIFS(加電履歴!$B:$B,加電履歴!$F:$F,B21,加電履歴!$E:$E,"畜種農業")),"")</f>
        <v/>
      </c>
      <c r="AS21">
        <f>IFERROR(IF(COUNTIFS(加電履歴!$F:$F,B21,加電履歴!$E:$E,"畜種農業")=0,"",INDEX(加電履歴!$I:$I,MATCH(1,(加電履歴!$F:$F=B21)*(加電履歴!$E:$E="畜種農業")*(加電履歴!$B:$B=MAXIFS(加電履歴!$B:$B,加電履歴!$F:$F,B21,加電履歴!$E:$E,"畜種農業")),0))),"")</f>
        <v/>
      </c>
    </row>
    <row r="22" ht="15.75" customHeight="1">
      <c r="A22" s="9" t="inlineStr">
        <is>
          <t>道央</t>
        </is>
      </c>
      <c r="B22" s="18" t="inlineStr">
        <is>
          <t>株式会社肉の山本 (千歳ラム工房)</t>
        </is>
      </c>
      <c r="C22" s="12" t="inlineStr">
        <is>
          <t>https://www.29yamamoto.jp/</t>
        </is>
      </c>
      <c r="D22" s="18" t="inlineStr">
        <is>
          <t>北海道千歳市流通3丁目2-2 (〒066-0019)</t>
        </is>
      </c>
      <c r="E22" s="18" t="inlineStr">
        <is>
          <t>0123-23-7617</t>
        </is>
      </c>
      <c r="F22" s="9" t="inlineStr">
        <is>
          <t>食肉加工・畜産関連</t>
        </is>
      </c>
      <c r="G22" s="9" t="inlineStr">
        <is>
          <t>加工・処理工程での安定的な労働力確保</t>
        </is>
      </c>
      <c r="H22" s="9" t="inlineStr">
        <is>
          <t>食肉加工現場で即戦力となる特定技能人材の配置</t>
        </is>
      </c>
      <c r="I22" s="9" t="inlineStr">
        <is>
          <t>総務部</t>
        </is>
      </c>
      <c r="J22" s="9" t="inlineStr">
        <is>
          <t>代表取締役</t>
        </is>
      </c>
      <c r="K22" s="9" t="inlineStr">
        <is>
          <t>山本 氏</t>
        </is>
      </c>
      <c r="L22" s="9" t="inlineStr">
        <is>
          <t>未確認</t>
        </is>
      </c>
      <c r="Q22" s="9" t="inlineStr">
        <is>
          <t>未開拓</t>
        </is>
      </c>
      <c r="R22" s="9" t="inlineStr">
        <is>
          <t>ターゲット</t>
        </is>
      </c>
      <c r="S22" s="9" t="inlineStr">
        <is>
          <t>リストアップ</t>
        </is>
      </c>
      <c r="AH22" s="9" t="inlineStr">
        <is>
          <t>営業推進部</t>
        </is>
      </c>
      <c r="AI22" s="9" t="inlineStr">
        <is>
          <t>武田 悦郎</t>
        </is>
      </c>
      <c r="AP22" s="9" t="inlineStr">
        <is>
          <t>未定</t>
        </is>
      </c>
      <c r="AQ22">
        <f>COUNTIFS(加電履歴!$F:$F,B22,加電履歴!$E:$E,"畜種農業")</f>
        <v/>
      </c>
      <c r="AR22" s="10">
        <f>IFERROR(IF(COUNTIFS(加電履歴!$F:$F,B22,加電履歴!$E:$E,"畜種農業")=0,"",MAXIFS(加電履歴!$B:$B,加電履歴!$F:$F,B22,加電履歴!$E:$E,"畜種農業")),"")</f>
        <v/>
      </c>
      <c r="AS22">
        <f>IFERROR(IF(COUNTIFS(加電履歴!$F:$F,B22,加電履歴!$E:$E,"畜種農業")=0,"",INDEX(加電履歴!$I:$I,MATCH(1,(加電履歴!$F:$F=B22)*(加電履歴!$E:$E="畜種農業")*(加電履歴!$B:$B=MAXIFS(加電履歴!$B:$B,加電履歴!$F:$F,B22,加電履歴!$E:$E,"畜種農業")),0))),"")</f>
        <v/>
      </c>
    </row>
    <row r="23" ht="15.75" customHeight="1">
      <c r="A23" s="9" t="inlineStr">
        <is>
          <t>道央</t>
        </is>
      </c>
      <c r="B23" s="18" t="inlineStr">
        <is>
          <t>ファームエイジ株式会社</t>
        </is>
      </c>
      <c r="C23" s="12" t="inlineStr">
        <is>
          <t>https://farmage.co.jp/</t>
        </is>
      </c>
      <c r="D23" s="18" t="inlineStr">
        <is>
          <t>北海道石狩郡当別町字金沢166-8</t>
        </is>
      </c>
      <c r="E23" s="18" t="inlineStr">
        <is>
          <t>0133-22-3060</t>
        </is>
      </c>
      <c r="F23" s="9" t="inlineStr">
        <is>
          <t>放牧酪農支援・電気柵システム</t>
        </is>
      </c>
      <c r="G23" s="9" t="inlineStr">
        <is>
          <t>放牧環境下での管理作業支援</t>
        </is>
      </c>
      <c r="H23" s="9" t="inlineStr">
        <is>
          <t>放牧地管理に対応できる柔軟な人材の提供</t>
        </is>
      </c>
      <c r="I23" s="9" t="inlineStr">
        <is>
          <t>経営陣</t>
        </is>
      </c>
      <c r="J23" s="9" t="inlineStr">
        <is>
          <t>代表取締役</t>
        </is>
      </c>
      <c r="K23" s="9" t="inlineStr">
        <is>
          <t>小谷 栄二</t>
        </is>
      </c>
      <c r="L23" s="9" t="inlineStr">
        <is>
          <t>未確認</t>
        </is>
      </c>
      <c r="Q23" s="9" t="inlineStr">
        <is>
          <t>未開拓</t>
        </is>
      </c>
      <c r="R23" s="9" t="inlineStr">
        <is>
          <t>ターゲット</t>
        </is>
      </c>
      <c r="S23" s="9" t="inlineStr">
        <is>
          <t>リストアップ</t>
        </is>
      </c>
      <c r="AH23" s="9" t="inlineStr">
        <is>
          <t>営業推進部</t>
        </is>
      </c>
      <c r="AI23" s="9" t="inlineStr">
        <is>
          <t>武田 悦郎</t>
        </is>
      </c>
      <c r="AP23" s="9" t="inlineStr">
        <is>
          <t>未定</t>
        </is>
      </c>
      <c r="AQ23">
        <f>COUNTIFS(加電履歴!$F:$F,B23,加電履歴!$E:$E,"畜種農業")</f>
        <v/>
      </c>
      <c r="AR23" s="10">
        <f>IFERROR(IF(COUNTIFS(加電履歴!$F:$F,B23,加電履歴!$E:$E,"畜種農業")=0,"",MAXIFS(加電履歴!$B:$B,加電履歴!$F:$F,B23,加電履歴!$E:$E,"畜種農業")),"")</f>
        <v/>
      </c>
      <c r="AS23">
        <f>IFERROR(IF(COUNTIFS(加電履歴!$F:$F,B23,加電履歴!$E:$E,"畜種農業")=0,"",INDEX(加電履歴!$I:$I,MATCH(1,(加電履歴!$F:$F=B23)*(加電履歴!$E:$E="畜種農業")*(加電履歴!$B:$B=MAXIFS(加電履歴!$B:$B,加電履歴!$F:$F,B23,加電履歴!$E:$E,"畜種農業")),0))),"")</f>
        <v/>
      </c>
    </row>
    <row r="24">
      <c r="A24" s="9" t="inlineStr">
        <is>
          <t>道央</t>
        </is>
      </c>
      <c r="B24" s="18" t="inlineStr">
        <is>
          <t>株式会社ぼくはん</t>
        </is>
      </c>
      <c r="C24" s="12" t="inlineStr">
        <is>
          <t>https://bokuhan.co.jp/</t>
        </is>
      </c>
      <c r="D24" s="18" t="inlineStr">
        <is>
          <t>北海道北広島市西の里東3丁目9-13 (〒061-1105)</t>
        </is>
      </c>
      <c r="E24" s="18" t="inlineStr">
        <is>
          <t>011-802-5801</t>
        </is>
      </c>
      <c r="F24" s="9" t="inlineStr">
        <is>
          <t>牧場運営関連</t>
        </is>
      </c>
      <c r="G24" s="9" t="inlineStr">
        <is>
          <t>飼養管理スタッフの通年確保</t>
        </is>
      </c>
      <c r="H24" s="9" t="inlineStr">
        <is>
          <t>特定技能の通年雇用による安定化</t>
        </is>
      </c>
      <c r="I24" s="9" t="inlineStr">
        <is>
          <t>管理部</t>
        </is>
      </c>
      <c r="J24" s="9" t="inlineStr">
        <is>
          <t>代表取締役</t>
        </is>
      </c>
      <c r="K24" s="9" t="inlineStr">
        <is>
          <t>不明</t>
        </is>
      </c>
      <c r="L24" s="9" t="inlineStr">
        <is>
          <t>未確認</t>
        </is>
      </c>
      <c r="Q24" s="9" t="inlineStr">
        <is>
          <t>未開拓</t>
        </is>
      </c>
      <c r="R24" s="9" t="inlineStr">
        <is>
          <t>ターゲット</t>
        </is>
      </c>
      <c r="S24" s="9" t="inlineStr">
        <is>
          <t>リストアップ</t>
        </is>
      </c>
      <c r="AH24" s="9" t="inlineStr">
        <is>
          <t>営業推進部</t>
        </is>
      </c>
      <c r="AI24" s="9" t="inlineStr">
        <is>
          <t>武田 悦郎</t>
        </is>
      </c>
      <c r="AP24" s="9" t="inlineStr">
        <is>
          <t>未定</t>
        </is>
      </c>
      <c r="AQ24">
        <f>COUNTIFS(加電履歴!$F:$F,B24,加電履歴!$E:$E,"畜種農業")</f>
        <v/>
      </c>
      <c r="AR24" s="10">
        <f>IFERROR(IF(COUNTIFS(加電履歴!$F:$F,B24,加電履歴!$E:$E,"畜種農業")=0,"",MAXIFS(加電履歴!$B:$B,加電履歴!$F:$F,B24,加電履歴!$E:$E,"畜種農業")),"")</f>
        <v/>
      </c>
      <c r="AS24">
        <f>IFERROR(IF(COUNTIFS(加電履歴!$F:$F,B24,加電履歴!$E:$E,"畜種農業")=0,"",INDEX(加電履歴!$I:$I,MATCH(1,(加電履歴!$F:$F=B24)*(加電履歴!$E:$E="畜種農業")*(加電履歴!$B:$B=MAXIFS(加電履歴!$B:$B,加電履歴!$F:$F,B24,加電履歴!$E:$E,"畜種農業")),0))),"")</f>
        <v/>
      </c>
    </row>
    <row r="25">
      <c r="A25" s="9" t="inlineStr">
        <is>
          <t>道央</t>
        </is>
      </c>
      <c r="B25" s="18" t="inlineStr">
        <is>
          <t>北海道ホルスタイン農業協同組合</t>
        </is>
      </c>
      <c r="C25" s="12" t="inlineStr">
        <is>
          <t>https://www.holstein.or.jp/</t>
        </is>
      </c>
      <c r="D25" s="18" t="inlineStr">
        <is>
          <t>北海道札幌市北区北15条西5丁目1-5</t>
        </is>
      </c>
      <c r="E25" s="18" t="inlineStr">
        <is>
          <t>011-726-3111</t>
        </is>
      </c>
      <c r="F25" s="9" t="inlineStr">
        <is>
          <t>全道の酪農組合支援</t>
        </is>
      </c>
      <c r="G25" s="9" t="inlineStr">
        <is>
          <t>組合員農家への労働力不足対策支援</t>
        </is>
      </c>
      <c r="H25" s="9" t="inlineStr">
        <is>
          <t>全道の組合員農家へ展開可能な採用コスト削減モデルの提案</t>
        </is>
      </c>
      <c r="I25" s="9" t="inlineStr">
        <is>
          <t>管理部</t>
        </is>
      </c>
      <c r="J25" s="9" t="inlineStr">
        <is>
          <t>代表理事組合長</t>
        </is>
      </c>
      <c r="K25" s="9" t="inlineStr">
        <is>
          <t>山口 哲朗</t>
        </is>
      </c>
      <c r="L25" s="9" t="inlineStr">
        <is>
          <t>未確認</t>
        </is>
      </c>
      <c r="Q25" s="9" t="inlineStr">
        <is>
          <t>未開拓</t>
        </is>
      </c>
      <c r="R25" s="9" t="inlineStr">
        <is>
          <t>ターゲット</t>
        </is>
      </c>
      <c r="S25" s="9" t="inlineStr">
        <is>
          <t>リストアップ</t>
        </is>
      </c>
      <c r="AH25" s="9" t="inlineStr">
        <is>
          <t>営業推進部</t>
        </is>
      </c>
      <c r="AI25" s="9" t="inlineStr">
        <is>
          <t>武田 悦郎</t>
        </is>
      </c>
      <c r="AP25" s="9" t="inlineStr">
        <is>
          <t>未定</t>
        </is>
      </c>
      <c r="AQ25">
        <f>COUNTIFS(加電履歴!$F:$F,B25,加電履歴!$E:$E,"畜種農業")</f>
        <v/>
      </c>
      <c r="AR25" s="10">
        <f>IFERROR(IF(COUNTIFS(加電履歴!$F:$F,B25,加電履歴!$E:$E,"畜種農業")=0,"",MAXIFS(加電履歴!$B:$B,加電履歴!$F:$F,B25,加電履歴!$E:$E,"畜種農業")),"")</f>
        <v/>
      </c>
      <c r="AS25">
        <f>IFERROR(IF(COUNTIFS(加電履歴!$F:$F,B25,加電履歴!$E:$E,"畜種農業")=0,"",INDEX(加電履歴!$I:$I,MATCH(1,(加電履歴!$F:$F=B25)*(加電履歴!$E:$E="畜種農業")*(加電履歴!$B:$B=MAXIFS(加電履歴!$B:$B,加電履歴!$F:$F,B25,加電履歴!$E:$E,"畜種農業")),0))),"")</f>
        <v/>
      </c>
    </row>
    <row r="26">
      <c r="A26" s="9" t="inlineStr">
        <is>
          <t>道央</t>
        </is>
      </c>
      <c r="B26" s="18" t="inlineStr">
        <is>
          <t>アースドリーム角山農場 (トンデンファーム)</t>
        </is>
      </c>
      <c r="C26" s="12" t="inlineStr">
        <is>
          <t>https://www.tondenfarm.co.jp/</t>
        </is>
      </c>
      <c r="D26" s="18" t="inlineStr">
        <is>
          <t>北海道江別市元野幌584番地1</t>
        </is>
      </c>
      <c r="E26" s="18" t="inlineStr">
        <is>
          <t>011-391-2500</t>
        </is>
      </c>
      <c r="F26" s="9" t="inlineStr">
        <is>
          <t>観光体験牧場/アルパカやミニ豚飼育</t>
        </is>
      </c>
      <c r="G26" s="9" t="inlineStr">
        <is>
          <t>観光客対応と多種多様な動物の飼育負担</t>
        </is>
      </c>
      <c r="H26" s="9" t="inlineStr">
        <is>
          <t>観光エリア外でのバックヤード飼育管理を即戦力に任せる体制構築</t>
        </is>
      </c>
      <c r="I26" s="9" t="inlineStr">
        <is>
          <t>農場管理部</t>
        </is>
      </c>
      <c r="J26" s="9" t="inlineStr">
        <is>
          <t>代表</t>
        </is>
      </c>
      <c r="K26" s="9" t="inlineStr">
        <is>
          <t>不明</t>
        </is>
      </c>
      <c r="L26" s="9" t="inlineStr">
        <is>
          <t>未確認</t>
        </is>
      </c>
      <c r="Q26" s="9" t="inlineStr">
        <is>
          <t>未開拓</t>
        </is>
      </c>
      <c r="R26" s="9" t="inlineStr">
        <is>
          <t>ターゲット</t>
        </is>
      </c>
      <c r="S26" s="9" t="inlineStr">
        <is>
          <t>リストアップ</t>
        </is>
      </c>
      <c r="AH26" s="9" t="inlineStr">
        <is>
          <t>営業推進部</t>
        </is>
      </c>
      <c r="AI26" s="9" t="inlineStr">
        <is>
          <t>武田 悦郎</t>
        </is>
      </c>
      <c r="AP26" s="9" t="inlineStr">
        <is>
          <t>未定</t>
        </is>
      </c>
      <c r="AQ26">
        <f>COUNTIFS(加電履歴!$F:$F,B26,加電履歴!$E:$E,"畜種農業")</f>
        <v/>
      </c>
      <c r="AR26" s="10">
        <f>IFERROR(IF(COUNTIFS(加電履歴!$F:$F,B26,加電履歴!$E:$E,"畜種農業")=0,"",MAXIFS(加電履歴!$B:$B,加電履歴!$F:$F,B26,加電履歴!$E:$E,"畜種農業")),"")</f>
        <v/>
      </c>
      <c r="AS26">
        <f>IFERROR(IF(COUNTIFS(加電履歴!$F:$F,B26,加電履歴!$E:$E,"畜種農業")=0,"",INDEX(加電履歴!$I:$I,MATCH(1,(加電履歴!$F:$F=B26)*(加電履歴!$E:$E="畜種農業")*(加電履歴!$B:$B=MAXIFS(加電履歴!$B:$B,加電履歴!$F:$F,B26,加電履歴!$E:$E,"畜種農業")),0))),"")</f>
        <v/>
      </c>
    </row>
    <row r="27">
      <c r="A27" s="9" t="inlineStr">
        <is>
          <t>道央</t>
        </is>
      </c>
      <c r="B27" s="18" t="inlineStr">
        <is>
          <t>千歳市営牧場 (公益財団法人道央農業振興公社)</t>
        </is>
      </c>
      <c r="C27" s="14" t="inlineStr"/>
      <c r="D27" s="18" t="inlineStr">
        <is>
          <t>北海道千歳市駒里1032番地の1 (駒里地区, 220ha)</t>
        </is>
      </c>
      <c r="E27" s="18" t="inlineStr">
        <is>
          <t>0123-23-4170</t>
        </is>
      </c>
      <c r="F27" s="9" t="inlineStr">
        <is>
          <t>公共牧野/育成牛の通年預託</t>
        </is>
      </c>
      <c r="G27" s="9" t="inlineStr">
        <is>
          <t>広大な牧草地と育成牛管理の省力化</t>
        </is>
      </c>
      <c r="H27" s="9" t="inlineStr">
        <is>
          <t>公共施設の安定稼働を即戦力の特定技能人材で支援する提案</t>
        </is>
      </c>
      <c r="I27" s="9" t="inlineStr">
        <is>
          <t>管理部</t>
        </is>
      </c>
      <c r="J27" s="9" t="inlineStr">
        <is>
          <t>管理者</t>
        </is>
      </c>
      <c r="K27" s="9" t="inlineStr">
        <is>
          <t>不明</t>
        </is>
      </c>
      <c r="L27" s="9" t="inlineStr">
        <is>
          <t>未確認</t>
        </is>
      </c>
      <c r="Q27" s="9" t="inlineStr">
        <is>
          <t>未開拓</t>
        </is>
      </c>
      <c r="R27" s="9" t="inlineStr">
        <is>
          <t>ターゲット</t>
        </is>
      </c>
      <c r="S27" s="9" t="inlineStr">
        <is>
          <t>リストアップ</t>
        </is>
      </c>
      <c r="AH27" s="9" t="inlineStr">
        <is>
          <t>営業推進部</t>
        </is>
      </c>
      <c r="AI27" s="9" t="inlineStr">
        <is>
          <t>武田 悦郎</t>
        </is>
      </c>
      <c r="AP27" s="9" t="inlineStr">
        <is>
          <t>未定</t>
        </is>
      </c>
      <c r="AQ27">
        <f>COUNTIFS(加電履歴!$F:$F,B27,加電履歴!$E:$E,"畜種農業")</f>
        <v/>
      </c>
      <c r="AR27" s="10">
        <f>IFERROR(IF(COUNTIFS(加電履歴!$F:$F,B27,加電履歴!$E:$E,"畜種農業")=0,"",MAXIFS(加電履歴!$B:$B,加電履歴!$F:$F,B27,加電履歴!$E:$E,"畜種農業")),"")</f>
        <v/>
      </c>
      <c r="AS27">
        <f>IFERROR(IF(COUNTIFS(加電履歴!$F:$F,B27,加電履歴!$E:$E,"畜種農業")=0,"",INDEX(加電履歴!$I:$I,MATCH(1,(加電履歴!$F:$F=B27)*(加電履歴!$E:$E="畜種農業")*(加電履歴!$B:$B=MAXIFS(加電履歴!$B:$B,加電履歴!$F:$F,B27,加電履歴!$E:$E,"畜種農業")),0))),"")</f>
        <v/>
      </c>
    </row>
    <row r="28">
      <c r="A28" s="9" t="inlineStr">
        <is>
          <t>道央</t>
        </is>
      </c>
      <c r="B28" s="18" t="inlineStr">
        <is>
          <t>石狩ひつじ牧場</t>
        </is>
      </c>
      <c r="C28" s="14" t="inlineStr"/>
      <c r="D28" s="18" t="inlineStr">
        <is>
          <t>北海道石狩市樽川485-1 (〒061-3251)</t>
        </is>
      </c>
      <c r="E28" s="18" t="inlineStr">
        <is>
          <t>080-4505-1935 (スタッフ) / 070-6601-1116 (代表)</t>
        </is>
      </c>
      <c r="F28" s="9" t="inlineStr">
        <is>
          <t>観光牧場/羊乳チーズ製造</t>
        </is>
      </c>
      <c r="G28" s="9" t="inlineStr">
        <is>
          <t>羊の飼育と観光・チーズ製造の兼務負担</t>
        </is>
      </c>
      <c r="H28" s="9" t="inlineStr">
        <is>
          <t>飼育管理を即戦力が担うことで代表が加工・接客に専念できる体制構築</t>
        </is>
      </c>
      <c r="I28" s="9" t="inlineStr">
        <is>
          <t>経営陣</t>
        </is>
      </c>
      <c r="J28" s="9" t="inlineStr">
        <is>
          <t>代表</t>
        </is>
      </c>
      <c r="K28" s="9" t="inlineStr">
        <is>
          <t>不明</t>
        </is>
      </c>
      <c r="L28" s="9" t="inlineStr">
        <is>
          <t>未確認</t>
        </is>
      </c>
      <c r="Q28" s="9" t="inlineStr">
        <is>
          <t>未開拓</t>
        </is>
      </c>
      <c r="R28" s="9" t="inlineStr">
        <is>
          <t>ターゲット</t>
        </is>
      </c>
      <c r="S28" s="9" t="inlineStr">
        <is>
          <t>リストアップ</t>
        </is>
      </c>
      <c r="AH28" s="9" t="inlineStr">
        <is>
          <t>営業推進部</t>
        </is>
      </c>
      <c r="AI28" s="9" t="inlineStr">
        <is>
          <t>武田 悦郎</t>
        </is>
      </c>
      <c r="AP28" s="9" t="inlineStr">
        <is>
          <t>未定</t>
        </is>
      </c>
      <c r="AQ28">
        <f>COUNTIFS(加電履歴!$F:$F,B28,加電履歴!$E:$E,"畜種農業")</f>
        <v/>
      </c>
      <c r="AR28" s="10">
        <f>IFERROR(IF(COUNTIFS(加電履歴!$F:$F,B28,加電履歴!$E:$E,"畜種農業")=0,"",MAXIFS(加電履歴!$B:$B,加電履歴!$F:$F,B28,加電履歴!$E:$E,"畜種農業")),"")</f>
        <v/>
      </c>
      <c r="AS28">
        <f>IFERROR(IF(COUNTIFS(加電履歴!$F:$F,B28,加電履歴!$E:$E,"畜種農業")=0,"",INDEX(加電履歴!$I:$I,MATCH(1,(加電履歴!$F:$F=B28)*(加電履歴!$E:$E="畜種農業")*(加電履歴!$B:$B=MAXIFS(加電履歴!$B:$B,加電履歴!$F:$F,B28,加電履歴!$E:$E,"畜種農業")),0))),"")</f>
        <v/>
      </c>
    </row>
    <row r="29">
      <c r="A29" s="9" t="inlineStr">
        <is>
          <t>道央</t>
        </is>
      </c>
      <c r="B29" s="9" t="inlineStr">
        <is>
          <t>有限会社大塚ファーム</t>
        </is>
      </c>
      <c r="D29" s="9" t="inlineStr">
        <is>
          <t>北海道石狩郡新篠津村第36線南42番地</t>
        </is>
      </c>
      <c r="E29" s="9" t="inlineStr">
        <is>
          <t>0126-57-2573</t>
        </is>
      </c>
      <c r="F29" s="9" t="inlineStr">
        <is>
          <t>有機農業および関連事業</t>
        </is>
      </c>
      <c r="G29" s="9" t="inlineStr">
        <is>
          <t>農福連携と複合的な作業の効率化</t>
        </is>
      </c>
      <c r="H29" s="9" t="inlineStr">
        <is>
          <t>多様な作業に即戦力で対応する人材の提供</t>
        </is>
      </c>
      <c r="I29" s="9" t="inlineStr">
        <is>
          <t>経営陣</t>
        </is>
      </c>
      <c r="J29" s="9" t="inlineStr">
        <is>
          <t>代表</t>
        </is>
      </c>
      <c r="K29" s="9" t="inlineStr">
        <is>
          <t>大塚 氏</t>
        </is>
      </c>
      <c r="L29" s="9" t="inlineStr">
        <is>
          <t>未確認</t>
        </is>
      </c>
      <c r="Q29" s="9" t="inlineStr">
        <is>
          <t>未開拓</t>
        </is>
      </c>
      <c r="R29" s="9" t="inlineStr">
        <is>
          <t>ターゲット</t>
        </is>
      </c>
      <c r="S29" s="9" t="inlineStr">
        <is>
          <t>リストアップ</t>
        </is>
      </c>
      <c r="AH29" s="9" t="inlineStr">
        <is>
          <t>営業推進部</t>
        </is>
      </c>
      <c r="AI29" s="9" t="inlineStr">
        <is>
          <t>武田 悦郎</t>
        </is>
      </c>
      <c r="AP29" s="9" t="inlineStr">
        <is>
          <t>未定</t>
        </is>
      </c>
      <c r="AQ29">
        <f>COUNTIFS(加電履歴!$F:$F,B29,加電履歴!$E:$E,"畜種農業")</f>
        <v/>
      </c>
      <c r="AR29" s="10">
        <f>IFERROR(IF(COUNTIFS(加電履歴!$F:$F,B29,加電履歴!$E:$E,"畜種農業")=0,"",MAXIFS(加電履歴!$B:$B,加電履歴!$F:$F,B29,加電履歴!$E:$E,"畜種農業")),"")</f>
        <v/>
      </c>
      <c r="AS29">
        <f>IFERROR(IF(COUNTIFS(加電履歴!$F:$F,B29,加電履歴!$E:$E,"畜種農業")=0,"",INDEX(加電履歴!$I:$I,MATCH(1,(加電履歴!$F:$F=B29)*(加電履歴!$E:$E="畜種農業")*(加電履歴!$B:$B=MAXIFS(加電履歴!$B:$B,加電履歴!$F:$F,B29,加電履歴!$E:$E,"畜種農業")),0))),"")</f>
        <v/>
      </c>
    </row>
    <row r="30">
      <c r="A30" s="9" t="inlineStr">
        <is>
          <t>道央</t>
        </is>
      </c>
      <c r="B30" s="9" t="inlineStr">
        <is>
          <t>株式会社JAKE</t>
        </is>
      </c>
      <c r="D30" s="9" t="inlineStr">
        <is>
          <t>北海道岩見沢市下志文町24-11</t>
        </is>
      </c>
      <c r="E30" s="9" t="inlineStr">
        <is>
          <t>0126-26-3340</t>
        </is>
      </c>
      <c r="F30" s="9" t="inlineStr">
        <is>
          <t>養鶏・有機穀物生産</t>
        </is>
      </c>
      <c r="G30" s="9" t="inlineStr">
        <is>
          <t>複合経営の労働力分散</t>
        </is>
      </c>
      <c r="H30" s="9" t="inlineStr">
        <is>
          <t>養鶏部門への即戦力配置による生産性向上</t>
        </is>
      </c>
      <c r="I30" s="9" t="inlineStr">
        <is>
          <t>本社</t>
        </is>
      </c>
      <c r="J30" s="9" t="inlineStr">
        <is>
          <t>代表</t>
        </is>
      </c>
      <c r="K30" s="9" t="inlineStr">
        <is>
          <t>不明</t>
        </is>
      </c>
      <c r="L30" s="9" t="inlineStr">
        <is>
          <t>未確認</t>
        </is>
      </c>
      <c r="Q30" s="9" t="inlineStr">
        <is>
          <t>未開拓</t>
        </is>
      </c>
      <c r="R30" s="9" t="inlineStr">
        <is>
          <t>ターゲット</t>
        </is>
      </c>
      <c r="S30" s="9" t="inlineStr">
        <is>
          <t>リストアップ</t>
        </is>
      </c>
      <c r="AH30" s="9" t="inlineStr">
        <is>
          <t>営業推進部</t>
        </is>
      </c>
      <c r="AI30" s="9" t="inlineStr">
        <is>
          <t>武田 悦郎</t>
        </is>
      </c>
      <c r="AP30" s="9" t="inlineStr">
        <is>
          <t>未定</t>
        </is>
      </c>
      <c r="AQ30">
        <f>COUNTIFS(加電履歴!$F:$F,B30,加電履歴!$E:$E,"畜種農業")</f>
        <v/>
      </c>
      <c r="AR30" s="10">
        <f>IFERROR(IF(COUNTIFS(加電履歴!$F:$F,B30,加電履歴!$E:$E,"畜種農業")=0,"",MAXIFS(加電履歴!$B:$B,加電履歴!$F:$F,B30,加電履歴!$E:$E,"畜種農業")),"")</f>
        <v/>
      </c>
      <c r="AS30">
        <f>IFERROR(IF(COUNTIFS(加電履歴!$F:$F,B30,加電履歴!$E:$E,"畜種農業")=0,"",INDEX(加電履歴!$I:$I,MATCH(1,(加電履歴!$F:$F=B30)*(加電履歴!$E:$E="畜種農業")*(加電履歴!$B:$B=MAXIFS(加電履歴!$B:$B,加電履歴!$F:$F,B30,加電履歴!$E:$E,"畜種農業")),0))),"")</f>
        <v/>
      </c>
    </row>
    <row r="31">
      <c r="A31" s="9" t="inlineStr">
        <is>
          <t>道央</t>
        </is>
      </c>
      <c r="B31" s="9" t="inlineStr">
        <is>
          <t>橋田牧場</t>
        </is>
      </c>
      <c r="D31" s="9" t="inlineStr">
        <is>
          <t>北海道恵庭市(えにあす関連)</t>
        </is>
      </c>
      <c r="E31" s="9" t="inlineStr">
        <is>
          <t>0123-25-5727(参考)</t>
        </is>
      </c>
      <c r="F31" s="9" t="inlineStr">
        <is>
          <t>恵庭市における酪農経営</t>
        </is>
      </c>
      <c r="G31" s="9" t="inlineStr">
        <is>
          <t>安定的な搾乳作業の担い手確保</t>
        </is>
      </c>
      <c r="H31" s="9" t="inlineStr">
        <is>
          <t>採用コストゼロで即戦力を配置し安定した搾乳オペレーションを実現</t>
        </is>
      </c>
      <c r="I31" s="9" t="inlineStr">
        <is>
          <t>経営陣</t>
        </is>
      </c>
      <c r="J31" s="9" t="inlineStr">
        <is>
          <t>代表(指導農業士)</t>
        </is>
      </c>
      <c r="K31" s="9" t="inlineStr">
        <is>
          <t>橋田 武</t>
        </is>
      </c>
      <c r="L31" s="9" t="inlineStr">
        <is>
          <t>未確認</t>
        </is>
      </c>
      <c r="Q31" s="9" t="inlineStr">
        <is>
          <t>未開拓</t>
        </is>
      </c>
      <c r="R31" s="9" t="inlineStr">
        <is>
          <t>ターゲット</t>
        </is>
      </c>
      <c r="S31" s="9" t="inlineStr">
        <is>
          <t>リストアップ</t>
        </is>
      </c>
      <c r="AH31" s="9" t="inlineStr">
        <is>
          <t>営業推進部</t>
        </is>
      </c>
      <c r="AI31" s="9" t="inlineStr">
        <is>
          <t>武田 悦郎</t>
        </is>
      </c>
      <c r="AP31" s="9" t="inlineStr">
        <is>
          <t>未定</t>
        </is>
      </c>
      <c r="AQ31">
        <f>COUNTIFS(加電履歴!$F:$F,B31,加電履歴!$E:$E,"畜種農業")</f>
        <v/>
      </c>
      <c r="AR31" s="10">
        <f>IFERROR(IF(COUNTIFS(加電履歴!$F:$F,B31,加電履歴!$E:$E,"畜種農業")=0,"",MAXIFS(加電履歴!$B:$B,加電履歴!$F:$F,B31,加電履歴!$E:$E,"畜種農業")),"")</f>
        <v/>
      </c>
      <c r="AS31">
        <f>IFERROR(IF(COUNTIFS(加電履歴!$F:$F,B31,加電履歴!$E:$E,"畜種農業")=0,"",INDEX(加電履歴!$I:$I,MATCH(1,(加電履歴!$F:$F=B31)*(加電履歴!$E:$E="畜種農業")*(加電履歴!$B:$B=MAXIFS(加電履歴!$B:$B,加電履歴!$F:$F,B31,加電履歴!$E:$E,"畜種農業")),0))),"")</f>
        <v/>
      </c>
    </row>
    <row r="32">
      <c r="A32" s="9" t="inlineStr">
        <is>
          <t>道央</t>
        </is>
      </c>
      <c r="B32" s="9" t="inlineStr">
        <is>
          <t>石橋牧場</t>
        </is>
      </c>
      <c r="D32" s="9" t="inlineStr">
        <is>
          <t>北海道北広島市</t>
        </is>
      </c>
      <c r="E32" s="9" t="inlineStr">
        <is>
          <t>不明</t>
        </is>
      </c>
      <c r="F32" s="9" t="inlineStr">
        <is>
          <t>北広島市における酪農経営</t>
        </is>
      </c>
      <c r="G32" s="9" t="inlineStr">
        <is>
          <t>都市近郊での継続的な酪農スタッフ確保</t>
        </is>
      </c>
      <c r="H32" s="9" t="inlineStr">
        <is>
          <t>都市近郊型の酪農環境に適応できる即戦力人材の提供</t>
        </is>
      </c>
      <c r="I32" s="9" t="inlineStr">
        <is>
          <t>経営陣</t>
        </is>
      </c>
      <c r="J32" s="9" t="inlineStr">
        <is>
          <t>代表(指導農業士)</t>
        </is>
      </c>
      <c r="K32" s="9" t="inlineStr">
        <is>
          <t>石橋 茂信</t>
        </is>
      </c>
      <c r="L32" s="9" t="inlineStr">
        <is>
          <t>未確認</t>
        </is>
      </c>
      <c r="Q32" s="9" t="inlineStr">
        <is>
          <t>未開拓</t>
        </is>
      </c>
      <c r="R32" s="9" t="inlineStr">
        <is>
          <t>ターゲット</t>
        </is>
      </c>
      <c r="S32" s="9" t="inlineStr">
        <is>
          <t>リストアップ</t>
        </is>
      </c>
      <c r="AH32" s="9" t="inlineStr">
        <is>
          <t>営業推進部</t>
        </is>
      </c>
      <c r="AI32" s="9" t="inlineStr">
        <is>
          <t>武田 悦郎</t>
        </is>
      </c>
      <c r="AP32" s="9" t="inlineStr">
        <is>
          <t>未定</t>
        </is>
      </c>
      <c r="AQ32">
        <f>COUNTIFS(加電履歴!$F:$F,B32,加電履歴!$E:$E,"畜種農業")</f>
        <v/>
      </c>
      <c r="AR32" s="10">
        <f>IFERROR(IF(COUNTIFS(加電履歴!$F:$F,B32,加電履歴!$E:$E,"畜種農業")=0,"",MAXIFS(加電履歴!$B:$B,加電履歴!$F:$F,B32,加電履歴!$E:$E,"畜種農業")),"")</f>
        <v/>
      </c>
      <c r="AS32">
        <f>IFERROR(IF(COUNTIFS(加電履歴!$F:$F,B32,加電履歴!$E:$E,"畜種農業")=0,"",INDEX(加電履歴!$I:$I,MATCH(1,(加電履歴!$F:$F=B32)*(加電履歴!$E:$E="畜種農業")*(加電履歴!$B:$B=MAXIFS(加電履歴!$B:$B,加電履歴!$F:$F,B32,加電履歴!$E:$E,"畜種農業")),0))),"")</f>
        <v/>
      </c>
    </row>
    <row r="33">
      <c r="A33" s="9" t="inlineStr">
        <is>
          <t>道央</t>
        </is>
      </c>
      <c r="B33" s="9" t="inlineStr">
        <is>
          <t>藤本農場</t>
        </is>
      </c>
      <c r="D33" s="9" t="inlineStr">
        <is>
          <t>北海道千歳市</t>
        </is>
      </c>
      <c r="E33" s="9" t="inlineStr">
        <is>
          <t>不明</t>
        </is>
      </c>
      <c r="F33" s="9" t="inlineStr">
        <is>
          <t>酪農と畑作の複合経営</t>
        </is>
      </c>
      <c r="G33" s="9" t="inlineStr">
        <is>
          <t>複合経営における季節ごとの労働ピークへの対応</t>
        </is>
      </c>
      <c r="H33" s="9" t="inlineStr">
        <is>
          <t>酪農と畑作のハイブリッド作業に即戦力として対応する人材提案</t>
        </is>
      </c>
      <c r="I33" s="9" t="inlineStr">
        <is>
          <t>経営陣</t>
        </is>
      </c>
      <c r="J33" s="9" t="inlineStr">
        <is>
          <t>代表(指導農業士)</t>
        </is>
      </c>
      <c r="K33" s="9" t="inlineStr">
        <is>
          <t>藤本 謹也</t>
        </is>
      </c>
      <c r="L33" s="9" t="inlineStr">
        <is>
          <t>未確認</t>
        </is>
      </c>
      <c r="Q33" s="9" t="inlineStr">
        <is>
          <t>未開拓</t>
        </is>
      </c>
      <c r="R33" s="9" t="inlineStr">
        <is>
          <t>ターゲット</t>
        </is>
      </c>
      <c r="S33" s="9" t="inlineStr">
        <is>
          <t>リストアップ</t>
        </is>
      </c>
      <c r="AH33" s="9" t="inlineStr">
        <is>
          <t>営業推進部</t>
        </is>
      </c>
      <c r="AI33" s="9" t="inlineStr">
        <is>
          <t>武田 悦郎</t>
        </is>
      </c>
      <c r="AP33" s="9" t="inlineStr">
        <is>
          <t>未定</t>
        </is>
      </c>
      <c r="AQ33">
        <f>COUNTIFS(加電履歴!$F:$F,B33,加電履歴!$E:$E,"畜種農業")</f>
        <v/>
      </c>
      <c r="AR33" s="10">
        <f>IFERROR(IF(COUNTIFS(加電履歴!$F:$F,B33,加電履歴!$E:$E,"畜種農業")=0,"",MAXIFS(加電履歴!$B:$B,加電履歴!$F:$F,B33,加電履歴!$E:$E,"畜種農業")),"")</f>
        <v/>
      </c>
      <c r="AS33">
        <f>IFERROR(IF(COUNTIFS(加電履歴!$F:$F,B33,加電履歴!$E:$E,"畜種農業")=0,"",INDEX(加電履歴!$I:$I,MATCH(1,(加電履歴!$F:$F=B33)*(加電履歴!$E:$E="畜種農業")*(加電履歴!$B:$B=MAXIFS(加電履歴!$B:$B,加電履歴!$F:$F,B33,加電履歴!$E:$E,"畜種農業")),0))),"")</f>
        <v/>
      </c>
    </row>
    <row r="34">
      <c r="A34" s="9" t="inlineStr">
        <is>
          <t>道央</t>
        </is>
      </c>
      <c r="B34" s="9" t="inlineStr">
        <is>
          <t>寺山農場</t>
        </is>
      </c>
      <c r="D34" s="9" t="inlineStr">
        <is>
          <t>北海道石狩市</t>
        </is>
      </c>
      <c r="E34" s="9" t="inlineStr">
        <is>
          <t>不明</t>
        </is>
      </c>
      <c r="F34" s="9" t="inlineStr">
        <is>
          <t>肉用牛・稲作・畑作の複合経営</t>
        </is>
      </c>
      <c r="G34" s="9" t="inlineStr">
        <is>
          <t>肉用牛の飼養管理と農繁期の両立</t>
        </is>
      </c>
      <c r="H34" s="9" t="inlineStr">
        <is>
          <t>肉牛管理の基本作業を即戦力に任せ代表が経営に専念できる体制構築</t>
        </is>
      </c>
      <c r="I34" s="9" t="inlineStr">
        <is>
          <t>経営陣</t>
        </is>
      </c>
      <c r="J34" s="9" t="inlineStr">
        <is>
          <t>代表(指導農業士)</t>
        </is>
      </c>
      <c r="K34" s="9" t="inlineStr">
        <is>
          <t>寺山 広司</t>
        </is>
      </c>
      <c r="L34" s="9" t="inlineStr">
        <is>
          <t>未確認</t>
        </is>
      </c>
      <c r="Q34" s="9" t="inlineStr">
        <is>
          <t>未開拓</t>
        </is>
      </c>
      <c r="R34" s="9" t="inlineStr">
        <is>
          <t>ターゲット</t>
        </is>
      </c>
      <c r="S34" s="9" t="inlineStr">
        <is>
          <t>リストアップ</t>
        </is>
      </c>
      <c r="AH34" s="9" t="inlineStr">
        <is>
          <t>営業推進部</t>
        </is>
      </c>
      <c r="AI34" s="9" t="inlineStr">
        <is>
          <t>武田 悦郎</t>
        </is>
      </c>
      <c r="AP34" s="9" t="inlineStr">
        <is>
          <t>未定</t>
        </is>
      </c>
      <c r="AQ34">
        <f>COUNTIFS(加電履歴!$F:$F,B34,加電履歴!$E:$E,"畜種農業")</f>
        <v/>
      </c>
      <c r="AR34" s="10">
        <f>IFERROR(IF(COUNTIFS(加電履歴!$F:$F,B34,加電履歴!$E:$E,"畜種農業")=0,"",MAXIFS(加電履歴!$B:$B,加電履歴!$F:$F,B34,加電履歴!$E:$E,"畜種農業")),"")</f>
        <v/>
      </c>
      <c r="AS34">
        <f>IFERROR(IF(COUNTIFS(加電履歴!$F:$F,B34,加電履歴!$E:$E,"畜種農業")=0,"",INDEX(加電履歴!$I:$I,MATCH(1,(加電履歴!$F:$F=B34)*(加電履歴!$E:$E="畜種農業")*(加電履歴!$B:$B=MAXIFS(加電履歴!$B:$B,加電履歴!$F:$F,B34,加電履歴!$E:$E,"畜種農業")),0))),"")</f>
        <v/>
      </c>
    </row>
    <row r="35">
      <c r="A35" s="9" t="inlineStr">
        <is>
          <t>道南</t>
        </is>
      </c>
      <c r="B35" s="9" t="inlineStr">
        <is>
          <t>日本クリーンファーム株式会社 道南事業所</t>
        </is>
      </c>
      <c r="D35" s="9" t="inlineStr">
        <is>
          <t>北海道二海郡八雲町</t>
        </is>
      </c>
      <c r="E35" s="9" t="inlineStr">
        <is>
          <t>不明</t>
        </is>
      </c>
      <c r="F35" s="9" t="inlineStr">
        <is>
          <t>大規模養豚/道南トップクラスの生産量</t>
        </is>
      </c>
      <c r="G35" s="9" t="inlineStr">
        <is>
          <t>大規模施設の清掃と衛生管理の負担増</t>
        </is>
      </c>
      <c r="H35" s="9" t="inlineStr">
        <is>
          <t>余計な採用コストなしで現場の即戦力となる特定技能人材を配置し安定稼働を支援</t>
        </is>
      </c>
      <c r="I35" s="9" t="inlineStr">
        <is>
          <t>管理部</t>
        </is>
      </c>
      <c r="J35" s="9" t="inlineStr">
        <is>
          <t>代表</t>
        </is>
      </c>
      <c r="K35" s="9" t="inlineStr">
        <is>
          <t>不明</t>
        </is>
      </c>
      <c r="L35" s="9" t="inlineStr">
        <is>
          <t>未確認</t>
        </is>
      </c>
      <c r="Q35" s="9" t="inlineStr">
        <is>
          <t>未開拓</t>
        </is>
      </c>
      <c r="R35" s="9" t="inlineStr">
        <is>
          <t>ターゲット</t>
        </is>
      </c>
      <c r="S35" s="9" t="inlineStr">
        <is>
          <t>リストアップ</t>
        </is>
      </c>
      <c r="AH35" s="9" t="inlineStr">
        <is>
          <t>営業推進部</t>
        </is>
      </c>
      <c r="AI35" s="9" t="inlineStr">
        <is>
          <t>武田 悦郎</t>
        </is>
      </c>
      <c r="AP35" s="9" t="inlineStr">
        <is>
          <t>未定</t>
        </is>
      </c>
      <c r="AQ35">
        <f>COUNTIFS(加電履歴!$F:$F,B35,加電履歴!$E:$E,"畜種農業")</f>
        <v/>
      </c>
      <c r="AR35" s="10">
        <f>IFERROR(IF(COUNTIFS(加電履歴!$F:$F,B35,加電履歴!$E:$E,"畜種農業")=0,"",MAXIFS(加電履歴!$B:$B,加電履歴!$F:$F,B35,加電履歴!$E:$E,"畜種農業")),"")</f>
        <v/>
      </c>
      <c r="AS35">
        <f>IFERROR(IF(COUNTIFS(加電履歴!$F:$F,B35,加電履歴!$E:$E,"畜種農業")=0,"",INDEX(加電履歴!$I:$I,MATCH(1,(加電履歴!$F:$F=B35)*(加電履歴!$E:$E="畜種農業")*(加電履歴!$B:$B=MAXIFS(加電履歴!$B:$B,加電履歴!$F:$F,B35,加電履歴!$E:$E,"畜種農業")),0))),"")</f>
        <v/>
      </c>
    </row>
    <row r="36">
      <c r="A36" s="9" t="inlineStr">
        <is>
          <t>道南</t>
        </is>
      </c>
      <c r="B36" s="9" t="inlineStr">
        <is>
          <t>株式会社山邊畜産</t>
        </is>
      </c>
      <c r="D36" s="9" t="inlineStr">
        <is>
          <t>北海道函館市</t>
        </is>
      </c>
      <c r="E36" s="9" t="inlineStr">
        <is>
          <t>0138-58-3715</t>
        </is>
      </c>
      <c r="F36" s="9" t="inlineStr">
        <is>
          <t>養豚/渡島エリアの安定供給</t>
        </is>
      </c>
      <c r="G36" s="9" t="inlineStr">
        <is>
          <t>日々の豚舎管理と従業員の高齢化</t>
        </is>
      </c>
      <c r="H36" s="9" t="inlineStr">
        <is>
          <t>即戦力を投入しベテラン社員の負担を軽減する体制づくり</t>
        </is>
      </c>
      <c r="I36" s="9" t="inlineStr">
        <is>
          <t>経営陣</t>
        </is>
      </c>
      <c r="J36" s="9" t="inlineStr">
        <is>
          <t>代表取締役</t>
        </is>
      </c>
      <c r="K36" s="9" t="inlineStr">
        <is>
          <t>山邊 氏</t>
        </is>
      </c>
      <c r="L36" s="9" t="inlineStr">
        <is>
          <t>未確認</t>
        </is>
      </c>
      <c r="Q36" s="9" t="inlineStr">
        <is>
          <t>未開拓</t>
        </is>
      </c>
      <c r="R36" s="9" t="inlineStr">
        <is>
          <t>ターゲット</t>
        </is>
      </c>
      <c r="S36" s="9" t="inlineStr">
        <is>
          <t>リストアップ</t>
        </is>
      </c>
      <c r="AH36" s="9" t="inlineStr">
        <is>
          <t>営業推進部</t>
        </is>
      </c>
      <c r="AI36" s="9" t="inlineStr">
        <is>
          <t>武田 悦郎</t>
        </is>
      </c>
      <c r="AP36" s="9" t="inlineStr">
        <is>
          <t>未定</t>
        </is>
      </c>
      <c r="AQ36">
        <f>COUNTIFS(加電履歴!$F:$F,B36,加電履歴!$E:$E,"畜種農業")</f>
        <v/>
      </c>
      <c r="AR36" s="10">
        <f>IFERROR(IF(COUNTIFS(加電履歴!$F:$F,B36,加電履歴!$E:$E,"畜種農業")=0,"",MAXIFS(加電履歴!$B:$B,加電履歴!$F:$F,B36,加電履歴!$E:$E,"畜種農業")),"")</f>
        <v/>
      </c>
      <c r="AS36">
        <f>IFERROR(IF(COUNTIFS(加電履歴!$F:$F,B36,加電履歴!$E:$E,"畜種農業")=0,"",INDEX(加電履歴!$I:$I,MATCH(1,(加電履歴!$F:$F=B36)*(加電履歴!$E:$E="畜種農業")*(加電履歴!$B:$B=MAXIFS(加電履歴!$B:$B,加電履歴!$F:$F,B36,加電履歴!$E:$E,"畜種農業")),0))),"")</f>
        <v/>
      </c>
    </row>
    <row r="37">
      <c r="A37" s="9" t="inlineStr">
        <is>
          <t>道南</t>
        </is>
      </c>
      <c r="B37" s="9" t="inlineStr">
        <is>
          <t>有限会社サクセス森</t>
        </is>
      </c>
      <c r="D37" s="9" t="inlineStr">
        <is>
          <t>北海道茅部郡森町</t>
        </is>
      </c>
      <c r="E37" s="9" t="inlineStr">
        <is>
          <t>不明</t>
        </is>
      </c>
      <c r="F37" s="9" t="inlineStr">
        <is>
          <t>養豚経営</t>
        </is>
      </c>
      <c r="G37" s="9" t="inlineStr">
        <is>
          <t>若手人材の不足による生産体制の維持</t>
        </is>
      </c>
      <c r="H37" s="9" t="inlineStr">
        <is>
          <t>採用コストゼロで即戦力を配置し長期的な生産体制を構築</t>
        </is>
      </c>
      <c r="I37" s="9" t="inlineStr">
        <is>
          <t>経営陣</t>
        </is>
      </c>
      <c r="J37" s="9" t="inlineStr">
        <is>
          <t>代表</t>
        </is>
      </c>
      <c r="K37" s="9" t="inlineStr">
        <is>
          <t>不明</t>
        </is>
      </c>
      <c r="L37" s="9" t="inlineStr">
        <is>
          <t>未確認</t>
        </is>
      </c>
      <c r="Q37" s="9" t="inlineStr">
        <is>
          <t>未開拓</t>
        </is>
      </c>
      <c r="R37" s="9" t="inlineStr">
        <is>
          <t>ターゲット</t>
        </is>
      </c>
      <c r="S37" s="9" t="inlineStr">
        <is>
          <t>リストアップ</t>
        </is>
      </c>
      <c r="AH37" s="9" t="inlineStr">
        <is>
          <t>営業推進部</t>
        </is>
      </c>
      <c r="AI37" s="9" t="inlineStr">
        <is>
          <t>武田 悦郎</t>
        </is>
      </c>
      <c r="AP37" s="9" t="inlineStr">
        <is>
          <t>未定</t>
        </is>
      </c>
      <c r="AQ37">
        <f>COUNTIFS(加電履歴!$F:$F,B37,加電履歴!$E:$E,"畜種農業")</f>
        <v/>
      </c>
      <c r="AR37" s="10">
        <f>IFERROR(IF(COUNTIFS(加電履歴!$F:$F,B37,加電履歴!$E:$E,"畜種農業")=0,"",MAXIFS(加電履歴!$B:$B,加電履歴!$F:$F,B37,加電履歴!$E:$E,"畜種農業")),"")</f>
        <v/>
      </c>
      <c r="AS37">
        <f>IFERROR(IF(COUNTIFS(加電履歴!$F:$F,B37,加電履歴!$E:$E,"畜種農業")=0,"",INDEX(加電履歴!$I:$I,MATCH(1,(加電履歴!$F:$F=B37)*(加電履歴!$E:$E="畜種農業")*(加電履歴!$B:$B=MAXIFS(加電履歴!$B:$B,加電履歴!$F:$F,B37,加電履歴!$E:$E,"畜種農業")),0))),"")</f>
        <v/>
      </c>
    </row>
    <row r="38">
      <c r="A38" s="9" t="inlineStr">
        <is>
          <t>道南</t>
        </is>
      </c>
      <c r="B38" s="9" t="inlineStr">
        <is>
          <t>有限会社道南アグロ</t>
        </is>
      </c>
      <c r="D38" s="9" t="inlineStr">
        <is>
          <t>北海道茅部郡森町</t>
        </is>
      </c>
      <c r="E38" s="9" t="inlineStr">
        <is>
          <t>不明</t>
        </is>
      </c>
      <c r="F38" s="9" t="inlineStr">
        <is>
          <t>ひこま豚の生産・販売</t>
        </is>
      </c>
      <c r="G38" s="9" t="inlineStr">
        <is>
          <t>ブランド豚の徹底した飼養管理と人手不足</t>
        </is>
      </c>
      <c r="H38" s="9" t="inlineStr">
        <is>
          <t>きめ細やかな管理作業を即戦力が担いブランド品質の維持に貢献</t>
        </is>
      </c>
      <c r="I38" s="9" t="inlineStr">
        <is>
          <t>経営陣</t>
        </is>
      </c>
      <c r="J38" s="9" t="inlineStr">
        <is>
          <t>代表</t>
        </is>
      </c>
      <c r="K38" s="9" t="inlineStr">
        <is>
          <t>日沼 氏</t>
        </is>
      </c>
      <c r="L38" s="9" t="inlineStr">
        <is>
          <t>未確認</t>
        </is>
      </c>
      <c r="Q38" s="9" t="inlineStr">
        <is>
          <t>未開拓</t>
        </is>
      </c>
      <c r="R38" s="9" t="inlineStr">
        <is>
          <t>ターゲット</t>
        </is>
      </c>
      <c r="S38" s="9" t="inlineStr">
        <is>
          <t>リストアップ</t>
        </is>
      </c>
      <c r="AH38" s="9" t="inlineStr">
        <is>
          <t>営業推進部</t>
        </is>
      </c>
      <c r="AI38" s="9" t="inlineStr">
        <is>
          <t>武田 悦郎</t>
        </is>
      </c>
      <c r="AP38" s="9" t="inlineStr">
        <is>
          <t>未定</t>
        </is>
      </c>
      <c r="AQ38">
        <f>COUNTIFS(加電履歴!$F:$F,B38,加電履歴!$E:$E,"畜種農業")</f>
        <v/>
      </c>
      <c r="AR38" s="10">
        <f>IFERROR(IF(COUNTIFS(加電履歴!$F:$F,B38,加電履歴!$E:$E,"畜種農業")=0,"",MAXIFS(加電履歴!$B:$B,加電履歴!$F:$F,B38,加電履歴!$E:$E,"畜種農業")),"")</f>
        <v/>
      </c>
      <c r="AS38">
        <f>IFERROR(IF(COUNTIFS(加電履歴!$F:$F,B38,加電履歴!$E:$E,"畜種農業")=0,"",INDEX(加電履歴!$I:$I,MATCH(1,(加電履歴!$F:$F=B38)*(加電履歴!$E:$E="畜種農業")*(加電履歴!$B:$B=MAXIFS(加電履歴!$B:$B,加電履歴!$F:$F,B38,加電履歴!$E:$E,"畜種農業")),0))),"")</f>
        <v/>
      </c>
    </row>
    <row r="39">
      <c r="A39" s="9" t="inlineStr">
        <is>
          <t>道南</t>
        </is>
      </c>
      <c r="B39" s="9" t="inlineStr">
        <is>
          <t>有限会社西村畜産</t>
        </is>
      </c>
      <c r="D39" s="9" t="inlineStr">
        <is>
          <t>北海道茅部郡森町</t>
        </is>
      </c>
      <c r="E39" s="9" t="inlineStr">
        <is>
          <t>不明</t>
        </is>
      </c>
      <c r="F39" s="9" t="inlineStr">
        <is>
          <t>養豚経営</t>
        </is>
      </c>
      <c r="G39" s="9" t="inlineStr">
        <is>
          <t>多頭数飼育における日常業務の効率化</t>
        </is>
      </c>
      <c r="H39" s="9" t="inlineStr">
        <is>
          <t>即戦力人材の導入により飼育スタッフの労働環境を改善</t>
        </is>
      </c>
      <c r="I39" s="9" t="inlineStr">
        <is>
          <t>経営陣</t>
        </is>
      </c>
      <c r="J39" s="9" t="inlineStr">
        <is>
          <t>代表</t>
        </is>
      </c>
      <c r="K39" s="9" t="inlineStr">
        <is>
          <t>西村 氏</t>
        </is>
      </c>
      <c r="L39" s="9" t="inlineStr">
        <is>
          <t>未確認</t>
        </is>
      </c>
      <c r="Q39" s="9" t="inlineStr">
        <is>
          <t>未開拓</t>
        </is>
      </c>
      <c r="R39" s="9" t="inlineStr">
        <is>
          <t>ターゲット</t>
        </is>
      </c>
      <c r="S39" s="9" t="inlineStr">
        <is>
          <t>リストアップ</t>
        </is>
      </c>
      <c r="AH39" s="9" t="inlineStr">
        <is>
          <t>営業推進部</t>
        </is>
      </c>
      <c r="AI39" s="9" t="inlineStr">
        <is>
          <t>武田 悦郎</t>
        </is>
      </c>
      <c r="AP39" s="9" t="inlineStr">
        <is>
          <t>未定</t>
        </is>
      </c>
      <c r="AQ39">
        <f>COUNTIFS(加電履歴!$F:$F,B39,加電履歴!$E:$E,"畜種農業")</f>
        <v/>
      </c>
      <c r="AR39" s="10">
        <f>IFERROR(IF(COUNTIFS(加電履歴!$F:$F,B39,加電履歴!$E:$E,"畜種農業")=0,"",MAXIFS(加電履歴!$B:$B,加電履歴!$F:$F,B39,加電履歴!$E:$E,"畜種農業")),"")</f>
        <v/>
      </c>
      <c r="AS39">
        <f>IFERROR(IF(COUNTIFS(加電履歴!$F:$F,B39,加電履歴!$E:$E,"畜種農業")=0,"",INDEX(加電履歴!$I:$I,MATCH(1,(加電履歴!$F:$F=B39)*(加電履歴!$E:$E="畜種農業")*(加電履歴!$B:$B=MAXIFS(加電履歴!$B:$B,加電履歴!$F:$F,B39,加電履歴!$E:$E,"畜種農業")),0))),"")</f>
        <v/>
      </c>
    </row>
    <row r="40">
      <c r="A40" s="9" t="inlineStr">
        <is>
          <t>道南</t>
        </is>
      </c>
      <c r="B40" s="9" t="inlineStr">
        <is>
          <t>有限会社高橋畜産</t>
        </is>
      </c>
      <c r="D40" s="9" t="inlineStr">
        <is>
          <t>北海道久遠郡せたな町</t>
        </is>
      </c>
      <c r="E40" s="9" t="inlineStr">
        <is>
          <t>不明</t>
        </is>
      </c>
      <c r="F40" s="9" t="inlineStr">
        <is>
          <t>養豚経営</t>
        </is>
      </c>
      <c r="G40" s="9" t="inlineStr">
        <is>
          <t>地方部における人材確保の難航</t>
        </is>
      </c>
      <c r="H40" s="9" t="inlineStr">
        <is>
          <t>採用コストをかけずに即戦力を確保し経営安定化を図る</t>
        </is>
      </c>
      <c r="I40" s="9" t="inlineStr">
        <is>
          <t>経営陣</t>
        </is>
      </c>
      <c r="J40" s="9" t="inlineStr">
        <is>
          <t>代表</t>
        </is>
      </c>
      <c r="K40" s="9" t="inlineStr">
        <is>
          <t>高橋 氏</t>
        </is>
      </c>
      <c r="L40" s="9" t="inlineStr">
        <is>
          <t>未確認</t>
        </is>
      </c>
      <c r="Q40" s="9" t="inlineStr">
        <is>
          <t>未開拓</t>
        </is>
      </c>
      <c r="R40" s="9" t="inlineStr">
        <is>
          <t>ターゲット</t>
        </is>
      </c>
      <c r="S40" s="9" t="inlineStr">
        <is>
          <t>リストアップ</t>
        </is>
      </c>
      <c r="AH40" s="9" t="inlineStr">
        <is>
          <t>営業推進部</t>
        </is>
      </c>
      <c r="AI40" s="9" t="inlineStr">
        <is>
          <t>武田 悦郎</t>
        </is>
      </c>
      <c r="AP40" s="9" t="inlineStr">
        <is>
          <t>未定</t>
        </is>
      </c>
      <c r="AQ40">
        <f>COUNTIFS(加電履歴!$F:$F,B40,加電履歴!$E:$E,"畜種農業")</f>
        <v/>
      </c>
      <c r="AR40" s="10">
        <f>IFERROR(IF(COUNTIFS(加電履歴!$F:$F,B40,加電履歴!$E:$E,"畜種農業")=0,"",MAXIFS(加電履歴!$B:$B,加電履歴!$F:$F,B40,加電履歴!$E:$E,"畜種農業")),"")</f>
        <v/>
      </c>
      <c r="AS40">
        <f>IFERROR(IF(COUNTIFS(加電履歴!$F:$F,B40,加電履歴!$E:$E,"畜種農業")=0,"",INDEX(加電履歴!$I:$I,MATCH(1,(加電履歴!$F:$F=B40)*(加電履歴!$E:$E="畜種農業")*(加電履歴!$B:$B=MAXIFS(加電履歴!$B:$B,加電履歴!$F:$F,B40,加電履歴!$E:$E,"畜種農業")),0))),"")</f>
        <v/>
      </c>
    </row>
    <row r="41">
      <c r="A41" s="9" t="inlineStr">
        <is>
          <t>道南</t>
        </is>
      </c>
      <c r="B41" s="9" t="inlineStr">
        <is>
          <t>有限会社森農場</t>
        </is>
      </c>
      <c r="D41" s="9" t="inlineStr">
        <is>
          <t>北海道檜山郡上ノ国町</t>
        </is>
      </c>
      <c r="E41" s="9" t="inlineStr">
        <is>
          <t>不明</t>
        </is>
      </c>
      <c r="F41" s="9" t="inlineStr">
        <is>
          <t>養豚経営</t>
        </is>
      </c>
      <c r="G41" s="9" t="inlineStr">
        <is>
          <t>遠隔地での労働力定着化</t>
        </is>
      </c>
      <c r="H41" s="9" t="inlineStr">
        <is>
          <t>即戦力として定着が見込める特定技能人材の提供</t>
        </is>
      </c>
      <c r="I41" s="9" t="inlineStr">
        <is>
          <t>経営陣</t>
        </is>
      </c>
      <c r="J41" s="9" t="inlineStr">
        <is>
          <t>代表</t>
        </is>
      </c>
      <c r="K41" s="9" t="inlineStr">
        <is>
          <t>森 氏</t>
        </is>
      </c>
      <c r="L41" s="9" t="inlineStr">
        <is>
          <t>未確認</t>
        </is>
      </c>
      <c r="Q41" s="9" t="inlineStr">
        <is>
          <t>未開拓</t>
        </is>
      </c>
      <c r="R41" s="9" t="inlineStr">
        <is>
          <t>ターゲット</t>
        </is>
      </c>
      <c r="S41" s="9" t="inlineStr">
        <is>
          <t>リストアップ</t>
        </is>
      </c>
      <c r="AH41" s="9" t="inlineStr">
        <is>
          <t>営業推進部</t>
        </is>
      </c>
      <c r="AI41" s="9" t="inlineStr">
        <is>
          <t>武田 悦郎</t>
        </is>
      </c>
      <c r="AP41" s="9" t="inlineStr">
        <is>
          <t>未定</t>
        </is>
      </c>
      <c r="AQ41">
        <f>COUNTIFS(加電履歴!$F:$F,B41,加電履歴!$E:$E,"畜種農業")</f>
        <v/>
      </c>
      <c r="AR41" s="10">
        <f>IFERROR(IF(COUNTIFS(加電履歴!$F:$F,B41,加電履歴!$E:$E,"畜種農業")=0,"",MAXIFS(加電履歴!$B:$B,加電履歴!$F:$F,B41,加電履歴!$E:$E,"畜種農業")),"")</f>
        <v/>
      </c>
      <c r="AS41">
        <f>IFERROR(IF(COUNTIFS(加電履歴!$F:$F,B41,加電履歴!$E:$E,"畜種農業")=0,"",INDEX(加電履歴!$I:$I,MATCH(1,(加電履歴!$F:$F=B41)*(加電履歴!$E:$E="畜種農業")*(加電履歴!$B:$B=MAXIFS(加電履歴!$B:$B,加電履歴!$F:$F,B41,加電履歴!$E:$E,"畜種農業")),0))),"")</f>
        <v/>
      </c>
    </row>
    <row r="42">
      <c r="A42" s="9" t="inlineStr">
        <is>
          <t>道南</t>
        </is>
      </c>
      <c r="B42" s="9" t="inlineStr">
        <is>
          <t>株式会社ひこま豚</t>
        </is>
      </c>
      <c r="D42" s="9" t="inlineStr">
        <is>
          <t>北海道茅部郡森町</t>
        </is>
      </c>
      <c r="E42" s="9" t="inlineStr">
        <is>
          <t>不明</t>
        </is>
      </c>
      <c r="F42" s="9" t="inlineStr">
        <is>
          <t>SPF豚生産・直売</t>
        </is>
      </c>
      <c r="G42" s="9" t="inlineStr">
        <is>
          <t>生産から販売までの一貫体制による多忙</t>
        </is>
      </c>
      <c r="H42" s="9" t="inlineStr">
        <is>
          <t>生産部門に即戦力を配置し販売・加工部門を強化する提案</t>
        </is>
      </c>
      <c r="I42" s="9" t="inlineStr">
        <is>
          <t>本社</t>
        </is>
      </c>
      <c r="J42" s="9" t="inlineStr">
        <is>
          <t>代表取締役</t>
        </is>
      </c>
      <c r="K42" s="9" t="inlineStr">
        <is>
          <t>日沼 氏</t>
        </is>
      </c>
      <c r="L42" s="9" t="inlineStr">
        <is>
          <t>未確認</t>
        </is>
      </c>
      <c r="Q42" s="9" t="inlineStr">
        <is>
          <t>未開拓</t>
        </is>
      </c>
      <c r="R42" s="9" t="inlineStr">
        <is>
          <t>ターゲット</t>
        </is>
      </c>
      <c r="S42" s="9" t="inlineStr">
        <is>
          <t>リストアップ</t>
        </is>
      </c>
      <c r="AH42" s="9" t="inlineStr">
        <is>
          <t>営業推進部</t>
        </is>
      </c>
      <c r="AI42" s="9" t="inlineStr">
        <is>
          <t>武田 悦郎</t>
        </is>
      </c>
      <c r="AP42" s="9" t="inlineStr">
        <is>
          <t>未定</t>
        </is>
      </c>
      <c r="AQ42">
        <f>COUNTIFS(加電履歴!$F:$F,B42,加電履歴!$E:$E,"畜種農業")</f>
        <v/>
      </c>
      <c r="AR42" s="10">
        <f>IFERROR(IF(COUNTIFS(加電履歴!$F:$F,B42,加電履歴!$E:$E,"畜種農業")=0,"",MAXIFS(加電履歴!$B:$B,加電履歴!$F:$F,B42,加電履歴!$E:$E,"畜種農業")),"")</f>
        <v/>
      </c>
      <c r="AS42">
        <f>IFERROR(IF(COUNTIFS(加電履歴!$F:$F,B42,加電履歴!$E:$E,"畜種農業")=0,"",INDEX(加電履歴!$I:$I,MATCH(1,(加電履歴!$F:$F=B42)*(加電履歴!$E:$E="畜種農業")*(加電履歴!$B:$B=MAXIFS(加電履歴!$B:$B,加電履歴!$F:$F,B42,加電履歴!$E:$E,"畜種農業")),0))),"")</f>
        <v/>
      </c>
    </row>
    <row r="43">
      <c r="A43" s="9" t="inlineStr">
        <is>
          <t>道南</t>
        </is>
      </c>
      <c r="B43" s="9" t="inlineStr">
        <is>
          <t>株式会社函館酪農公社</t>
        </is>
      </c>
      <c r="D43" s="9" t="inlineStr">
        <is>
          <t>北海道函館市中野町</t>
        </is>
      </c>
      <c r="E43" s="9" t="inlineStr">
        <is>
          <t>0138-58-4460</t>
        </is>
      </c>
      <c r="F43" s="9" t="inlineStr">
        <is>
          <t>函館牛乳の製造・販売・観光牧場</t>
        </is>
      </c>
      <c r="G43" s="9" t="inlineStr">
        <is>
          <t>製造ラインと牧場管理の並行による労働負荷</t>
        </is>
      </c>
      <c r="H43" s="9" t="inlineStr">
        <is>
          <t>製造・飼育の両面で即戦力となる人材を活用し採用コストを抑制</t>
        </is>
      </c>
      <c r="I43" s="9" t="inlineStr">
        <is>
          <t>管理部</t>
        </is>
      </c>
      <c r="J43" s="9" t="inlineStr">
        <is>
          <t>代表取締役</t>
        </is>
      </c>
      <c r="K43" s="9" t="inlineStr">
        <is>
          <t>不明</t>
        </is>
      </c>
      <c r="L43" s="9" t="inlineStr">
        <is>
          <t>未確認</t>
        </is>
      </c>
      <c r="Q43" s="9" t="inlineStr">
        <is>
          <t>未開拓</t>
        </is>
      </c>
      <c r="R43" s="9" t="inlineStr">
        <is>
          <t>ターゲット</t>
        </is>
      </c>
      <c r="S43" s="9" t="inlineStr">
        <is>
          <t>リストアップ</t>
        </is>
      </c>
      <c r="AH43" s="9" t="inlineStr">
        <is>
          <t>営業推進部</t>
        </is>
      </c>
      <c r="AI43" s="9" t="inlineStr">
        <is>
          <t>武田 悦郎</t>
        </is>
      </c>
      <c r="AP43" s="9" t="inlineStr">
        <is>
          <t>未定</t>
        </is>
      </c>
      <c r="AQ43">
        <f>COUNTIFS(加電履歴!$F:$F,B43,加電履歴!$E:$E,"畜種農業")</f>
        <v/>
      </c>
      <c r="AR43" s="10">
        <f>IFERROR(IF(COUNTIFS(加電履歴!$F:$F,B43,加電履歴!$E:$E,"畜種農業")=0,"",MAXIFS(加電履歴!$B:$B,加電履歴!$F:$F,B43,加電履歴!$E:$E,"畜種農業")),"")</f>
        <v/>
      </c>
      <c r="AS43">
        <f>IFERROR(IF(COUNTIFS(加電履歴!$F:$F,B43,加電履歴!$E:$E,"畜種農業")=0,"",INDEX(加電履歴!$I:$I,MATCH(1,(加電履歴!$F:$F=B43)*(加電履歴!$E:$E="畜種農業")*(加電履歴!$B:$B=MAXIFS(加電履歴!$B:$B,加電履歴!$F:$F,B43,加電履歴!$E:$E,"畜種農業")),0))),"")</f>
        <v/>
      </c>
    </row>
    <row r="44">
      <c r="A44" s="9" t="inlineStr">
        <is>
          <t>道南</t>
        </is>
      </c>
      <c r="B44" s="9" t="inlineStr">
        <is>
          <t>はこだてSinアグリファーム</t>
        </is>
      </c>
      <c r="D44" s="9" t="inlineStr">
        <is>
          <t>北海道函館市</t>
        </is>
      </c>
      <c r="E44" s="9" t="inlineStr">
        <is>
          <t>不明</t>
        </is>
      </c>
      <c r="F44" s="9" t="inlineStr">
        <is>
          <t>畜産物・果樹の複合経営</t>
        </is>
      </c>
      <c r="G44" s="9" t="inlineStr">
        <is>
          <t>畜産と果樹の農繁期の重なり</t>
        </is>
      </c>
      <c r="H44" s="9" t="inlineStr">
        <is>
          <t>多様な作業に即戦力で対応できる外国人材の導入提案</t>
        </is>
      </c>
      <c r="I44" s="9" t="inlineStr">
        <is>
          <t>経営陣</t>
        </is>
      </c>
      <c r="J44" s="9" t="inlineStr">
        <is>
          <t>代表</t>
        </is>
      </c>
      <c r="K44" s="9" t="inlineStr">
        <is>
          <t>不明</t>
        </is>
      </c>
      <c r="L44" s="9" t="inlineStr">
        <is>
          <t>未確認</t>
        </is>
      </c>
      <c r="Q44" s="9" t="inlineStr">
        <is>
          <t>未開拓</t>
        </is>
      </c>
      <c r="R44" s="9" t="inlineStr">
        <is>
          <t>ターゲット</t>
        </is>
      </c>
      <c r="S44" s="9" t="inlineStr">
        <is>
          <t>リストアップ</t>
        </is>
      </c>
      <c r="AH44" s="9" t="inlineStr">
        <is>
          <t>営業推進部</t>
        </is>
      </c>
      <c r="AI44" s="9" t="inlineStr">
        <is>
          <t>武田 悦郎</t>
        </is>
      </c>
      <c r="AP44" s="9" t="inlineStr">
        <is>
          <t>未定</t>
        </is>
      </c>
      <c r="AQ44">
        <f>COUNTIFS(加電履歴!$F:$F,B44,加電履歴!$E:$E,"畜種農業")</f>
        <v/>
      </c>
      <c r="AR44" s="10">
        <f>IFERROR(IF(COUNTIFS(加電履歴!$F:$F,B44,加電履歴!$E:$E,"畜種農業")=0,"",MAXIFS(加電履歴!$B:$B,加電履歴!$F:$F,B44,加電履歴!$E:$E,"畜種農業")),"")</f>
        <v/>
      </c>
      <c r="AS44">
        <f>IFERROR(IF(COUNTIFS(加電履歴!$F:$F,B44,加電履歴!$E:$E,"畜種農業")=0,"",INDEX(加電履歴!$I:$I,MATCH(1,(加電履歴!$F:$F=B44)*(加電履歴!$E:$E="畜種農業")*(加電履歴!$B:$B=MAXIFS(加電履歴!$B:$B,加電履歴!$F:$F,B44,加電履歴!$E:$E,"畜種農業")),0))),"")</f>
        <v/>
      </c>
    </row>
    <row r="45">
      <c r="A45" s="9" t="inlineStr">
        <is>
          <t>道南</t>
        </is>
      </c>
      <c r="B45" s="9" t="inlineStr">
        <is>
          <t>小澤牧場</t>
        </is>
      </c>
      <c r="D45" s="9" t="inlineStr">
        <is>
          <t>北海道七飯町</t>
        </is>
      </c>
      <c r="E45" s="9" t="inlineStr">
        <is>
          <t>不明</t>
        </is>
      </c>
      <c r="F45" s="9" t="inlineStr">
        <is>
          <t>大沼牛の生産</t>
        </is>
      </c>
      <c r="G45" s="9" t="inlineStr">
        <is>
          <t>高級肉牛の緻密な給餌管理</t>
        </is>
      </c>
      <c r="H45" s="9" t="inlineStr">
        <is>
          <t>日常的な給餌・清掃を即戦力に任せ観察体制に注力</t>
        </is>
      </c>
      <c r="I45" s="9" t="inlineStr">
        <is>
          <t>経営陣</t>
        </is>
      </c>
      <c r="J45" s="9" t="inlineStr">
        <is>
          <t>代表</t>
        </is>
      </c>
      <c r="K45" s="9" t="inlineStr">
        <is>
          <t>小澤 氏</t>
        </is>
      </c>
      <c r="L45" s="9" t="inlineStr">
        <is>
          <t>未確認</t>
        </is>
      </c>
      <c r="Q45" s="9" t="inlineStr">
        <is>
          <t>未開拓</t>
        </is>
      </c>
      <c r="R45" s="9" t="inlineStr">
        <is>
          <t>ターゲット</t>
        </is>
      </c>
      <c r="S45" s="9" t="inlineStr">
        <is>
          <t>リストアップ</t>
        </is>
      </c>
      <c r="AH45" s="9" t="inlineStr">
        <is>
          <t>営業推進部</t>
        </is>
      </c>
      <c r="AI45" s="9" t="inlineStr">
        <is>
          <t>武田 悦郎</t>
        </is>
      </c>
      <c r="AP45" s="9" t="inlineStr">
        <is>
          <t>未定</t>
        </is>
      </c>
      <c r="AQ45">
        <f>COUNTIFS(加電履歴!$F:$F,B45,加電履歴!$E:$E,"畜種農業")</f>
        <v/>
      </c>
      <c r="AR45" s="10">
        <f>IFERROR(IF(COUNTIFS(加電履歴!$F:$F,B45,加電履歴!$E:$E,"畜種農業")=0,"",MAXIFS(加電履歴!$B:$B,加電履歴!$F:$F,B45,加電履歴!$E:$E,"畜種農業")),"")</f>
        <v/>
      </c>
      <c r="AS45">
        <f>IFERROR(IF(COUNTIFS(加電履歴!$F:$F,B45,加電履歴!$E:$E,"畜種農業")=0,"",INDEX(加電履歴!$I:$I,MATCH(1,(加電履歴!$F:$F=B45)*(加電履歴!$E:$E="畜種農業")*(加電履歴!$B:$B=MAXIFS(加電履歴!$B:$B,加電履歴!$F:$F,B45,加電履歴!$E:$E,"畜種農業")),0))),"")</f>
        <v/>
      </c>
    </row>
    <row r="46">
      <c r="A46" s="9" t="inlineStr">
        <is>
          <t>道南</t>
        </is>
      </c>
      <c r="B46" s="9" t="inlineStr">
        <is>
          <t>鈴木牧場</t>
        </is>
      </c>
      <c r="D46" s="9" t="inlineStr">
        <is>
          <t>北海道北斗市</t>
        </is>
      </c>
      <c r="E46" s="9" t="inlineStr">
        <is>
          <t>不明</t>
        </is>
      </c>
      <c r="F46" s="9" t="inlineStr">
        <is>
          <t>酪農</t>
        </is>
      </c>
      <c r="G46" s="9" t="inlineStr">
        <is>
          <t>搾乳作業の通年確保</t>
        </is>
      </c>
      <c r="H46" s="9" t="inlineStr">
        <is>
          <t>採用コスト不要で早朝・夜間の搾乳に対応できる即戦力の提供</t>
        </is>
      </c>
      <c r="I46" s="9" t="inlineStr">
        <is>
          <t>経営陣</t>
        </is>
      </c>
      <c r="J46" s="9" t="inlineStr">
        <is>
          <t>代表</t>
        </is>
      </c>
      <c r="K46" s="9" t="inlineStr">
        <is>
          <t>鈴木 氏</t>
        </is>
      </c>
      <c r="L46" s="9" t="inlineStr">
        <is>
          <t>未確認</t>
        </is>
      </c>
      <c r="Q46" s="9" t="inlineStr">
        <is>
          <t>未開拓</t>
        </is>
      </c>
      <c r="R46" s="9" t="inlineStr">
        <is>
          <t>ターゲット</t>
        </is>
      </c>
      <c r="S46" s="9" t="inlineStr">
        <is>
          <t>リストアップ</t>
        </is>
      </c>
      <c r="AH46" s="9" t="inlineStr">
        <is>
          <t>営業推進部</t>
        </is>
      </c>
      <c r="AI46" s="9" t="inlineStr">
        <is>
          <t>武田 悦郎</t>
        </is>
      </c>
      <c r="AP46" s="9" t="inlineStr">
        <is>
          <t>未定</t>
        </is>
      </c>
      <c r="AQ46">
        <f>COUNTIFS(加電履歴!$F:$F,B46,加電履歴!$E:$E,"畜種農業")</f>
        <v/>
      </c>
      <c r="AR46" s="10">
        <f>IFERROR(IF(COUNTIFS(加電履歴!$F:$F,B46,加電履歴!$E:$E,"畜種農業")=0,"",MAXIFS(加電履歴!$B:$B,加電履歴!$F:$F,B46,加電履歴!$E:$E,"畜種農業")),"")</f>
        <v/>
      </c>
      <c r="AS46">
        <f>IFERROR(IF(COUNTIFS(加電履歴!$F:$F,B46,加電履歴!$E:$E,"畜種農業")=0,"",INDEX(加電履歴!$I:$I,MATCH(1,(加電履歴!$F:$F=B46)*(加電履歴!$E:$E="畜種農業")*(加電履歴!$B:$B=MAXIFS(加電履歴!$B:$B,加電履歴!$F:$F,B46,加電履歴!$E:$E,"畜種農業")),0))),"")</f>
        <v/>
      </c>
    </row>
    <row r="47">
      <c r="A47" s="9" t="inlineStr">
        <is>
          <t>道南</t>
        </is>
      </c>
      <c r="B47" s="9" t="inlineStr">
        <is>
          <t>有限会社八雲ファーム</t>
        </is>
      </c>
      <c r="D47" s="9" t="inlineStr">
        <is>
          <t>北海道二海郡八雲町</t>
        </is>
      </c>
      <c r="E47" s="9" t="inlineStr">
        <is>
          <t>不明</t>
        </is>
      </c>
      <c r="F47" s="9" t="inlineStr">
        <is>
          <t>酪農・複合</t>
        </is>
      </c>
      <c r="G47" s="9" t="inlineStr">
        <is>
          <t>八雲町の広大な土地を活かした酪農</t>
        </is>
      </c>
      <c r="H47" s="9" t="inlineStr">
        <is>
          <t>広域な牛群管理をサポートする即戦力の導入</t>
        </is>
      </c>
      <c r="I47" s="9" t="inlineStr">
        <is>
          <t>経営陣</t>
        </is>
      </c>
      <c r="J47" s="9" t="inlineStr">
        <is>
          <t>代表</t>
        </is>
      </c>
      <c r="K47" s="9" t="inlineStr">
        <is>
          <t>不明</t>
        </is>
      </c>
      <c r="L47" s="9" t="inlineStr">
        <is>
          <t>未確認</t>
        </is>
      </c>
      <c r="Q47" s="9" t="inlineStr">
        <is>
          <t>未開拓</t>
        </is>
      </c>
      <c r="R47" s="9" t="inlineStr">
        <is>
          <t>ターゲット</t>
        </is>
      </c>
      <c r="S47" s="9" t="inlineStr">
        <is>
          <t>リストアップ</t>
        </is>
      </c>
      <c r="AH47" s="9" t="inlineStr">
        <is>
          <t>営業推進部</t>
        </is>
      </c>
      <c r="AI47" s="9" t="inlineStr">
        <is>
          <t>武田 悦郎</t>
        </is>
      </c>
      <c r="AP47" s="9" t="inlineStr">
        <is>
          <t>未定</t>
        </is>
      </c>
      <c r="AQ47">
        <f>COUNTIFS(加電履歴!$F:$F,B47,加電履歴!$E:$E,"畜種農業")</f>
        <v/>
      </c>
      <c r="AR47" s="10">
        <f>IFERROR(IF(COUNTIFS(加電履歴!$F:$F,B47,加電履歴!$E:$E,"畜種農業")=0,"",MAXIFS(加電履歴!$B:$B,加電履歴!$F:$F,B47,加電履歴!$E:$E,"畜種農業")),"")</f>
        <v/>
      </c>
      <c r="AS47">
        <f>IFERROR(IF(COUNTIFS(加電履歴!$F:$F,B47,加電履歴!$E:$E,"畜種農業")=0,"",INDEX(加電履歴!$I:$I,MATCH(1,(加電履歴!$F:$F=B47)*(加電履歴!$E:$E="畜種農業")*(加電履歴!$B:$B=MAXIFS(加電履歴!$B:$B,加電履歴!$F:$F,B47,加電履歴!$E:$E,"畜種農業")),0))),"")</f>
        <v/>
      </c>
    </row>
    <row r="48">
      <c r="A48" s="9" t="inlineStr">
        <is>
          <t>道南</t>
        </is>
      </c>
      <c r="B48" s="9" t="inlineStr">
        <is>
          <t>日本フードパッカー株式会社 道南工場</t>
        </is>
      </c>
      <c r="D48" s="9" t="inlineStr">
        <is>
          <t>北海道</t>
        </is>
      </c>
      <c r="E48" s="9" t="inlineStr">
        <is>
          <t>不明</t>
        </is>
      </c>
      <c r="F48" s="9" t="inlineStr">
        <is>
          <t>牛・豚の食肉処理</t>
        </is>
      </c>
      <c r="G48" s="9" t="inlineStr">
        <is>
          <t>処理工場における慢性的な人員不足</t>
        </is>
      </c>
      <c r="H48" s="9" t="inlineStr">
        <is>
          <t>食肉加工現場で即戦力となる特定技能人材の配置</t>
        </is>
      </c>
      <c r="I48" s="9" t="inlineStr">
        <is>
          <t>総務部</t>
        </is>
      </c>
      <c r="J48" s="9" t="inlineStr">
        <is>
          <t>工場長</t>
        </is>
      </c>
      <c r="K48" s="9" t="inlineStr">
        <is>
          <t>不明</t>
        </is>
      </c>
      <c r="L48" s="9" t="inlineStr">
        <is>
          <t>未確認</t>
        </is>
      </c>
      <c r="Q48" s="9" t="inlineStr">
        <is>
          <t>未開拓</t>
        </is>
      </c>
      <c r="R48" s="9" t="inlineStr">
        <is>
          <t>ターゲット</t>
        </is>
      </c>
      <c r="S48" s="9" t="inlineStr">
        <is>
          <t>リストアップ</t>
        </is>
      </c>
      <c r="AH48" s="9" t="inlineStr">
        <is>
          <t>営業推進部</t>
        </is>
      </c>
      <c r="AI48" s="9" t="inlineStr">
        <is>
          <t>武田 悦郎</t>
        </is>
      </c>
      <c r="AP48" s="9" t="inlineStr">
        <is>
          <t>未定</t>
        </is>
      </c>
      <c r="AQ48">
        <f>COUNTIFS(加電履歴!$F:$F,B48,加電履歴!$E:$E,"畜種農業")</f>
        <v/>
      </c>
      <c r="AR48" s="10">
        <f>IFERROR(IF(COUNTIFS(加電履歴!$F:$F,B48,加電履歴!$E:$E,"畜種農業")=0,"",MAXIFS(加電履歴!$B:$B,加電履歴!$F:$F,B48,加電履歴!$E:$E,"畜種農業")),"")</f>
        <v/>
      </c>
      <c r="AS48">
        <f>IFERROR(IF(COUNTIFS(加電履歴!$F:$F,B48,加電履歴!$E:$E,"畜種農業")=0,"",INDEX(加電履歴!$I:$I,MATCH(1,(加電履歴!$F:$F=B48)*(加電履歴!$E:$E="畜種農業")*(加電履歴!$B:$B=MAXIFS(加電履歴!$B:$B,加電履歴!$F:$F,B48,加電履歴!$E:$E,"畜種農業")),0))),"")</f>
        <v/>
      </c>
    </row>
    <row r="49">
      <c r="A49" s="9" t="inlineStr">
        <is>
          <t>道北</t>
        </is>
      </c>
      <c r="B49" s="18" t="inlineStr">
        <is>
          <t>株式会社東武牧場</t>
        </is>
      </c>
      <c r="C49" s="12" t="inlineStr">
        <is>
          <t>https://www.facebook.com/Toubufarm/</t>
        </is>
      </c>
      <c r="D49" s="18" t="inlineStr">
        <is>
          <t>北海道士別市武徳町44線東8号 (〒095-0062)</t>
        </is>
      </c>
      <c r="E49" s="18" t="inlineStr">
        <is>
          <t>0165-23-1548</t>
        </is>
      </c>
      <c r="F49" s="9" t="inlineStr">
        <is>
          <t>素牛育成専門/常時3200頭飼養</t>
        </is>
      </c>
      <c r="G49" s="9" t="inlineStr">
        <is>
          <t>年間5000頭の仔牛育成における健康管理</t>
        </is>
      </c>
      <c r="H49" s="9" t="inlineStr">
        <is>
          <t>ルーティン作業を即戦力に任せ観察に注力</t>
        </is>
      </c>
      <c r="I49" s="9" t="inlineStr">
        <is>
          <t>経営陣</t>
        </is>
      </c>
      <c r="J49" s="9" t="inlineStr">
        <is>
          <t>代表</t>
        </is>
      </c>
      <c r="K49" s="9" t="inlineStr">
        <is>
          <t>不明</t>
        </is>
      </c>
      <c r="L49" s="9" t="inlineStr">
        <is>
          <t>未確認</t>
        </is>
      </c>
      <c r="Q49" s="9" t="inlineStr">
        <is>
          <t>未開拓</t>
        </is>
      </c>
      <c r="R49" s="9" t="inlineStr">
        <is>
          <t>ターゲット</t>
        </is>
      </c>
      <c r="S49" s="9" t="inlineStr">
        <is>
          <t>リストアップ</t>
        </is>
      </c>
      <c r="AG49" s="9" t="inlineStr">
        <is>
          <t>営業推進部</t>
        </is>
      </c>
      <c r="AH49" s="9" t="inlineStr">
        <is>
          <t>武田 悦郎</t>
        </is>
      </c>
      <c r="AN49" s="9" t="inlineStr">
        <is>
          <t>未定</t>
        </is>
      </c>
      <c r="AQ49">
        <f>COUNTIFS(加電履歴!$F:$F,B49,加電履歴!$E:$E,"畜種農業")</f>
        <v/>
      </c>
      <c r="AR49" s="10">
        <f>IFERROR(IF(COUNTIFS(加電履歴!$F:$F,B49,加電履歴!$E:$E,"畜種農業")=0,"",MAXIFS(加電履歴!$B:$B,加電履歴!$F:$F,B49,加電履歴!$E:$E,"畜種農業")),"")</f>
        <v/>
      </c>
      <c r="AS49">
        <f>IFERROR(IF(COUNTIFS(加電履歴!$F:$F,B49,加電履歴!$E:$E,"畜種農業")=0,"",INDEX(加電履歴!$I:$I,MATCH(1,(加電履歴!$F:$F=B49)*(加電履歴!$E:$E="畜種農業")*(加電履歴!$B:$B=MAXIFS(加電履歴!$B:$B,加電履歴!$F:$F,B49,加電履歴!$E:$E,"畜種農業")),0))),"")</f>
        <v/>
      </c>
    </row>
    <row r="50">
      <c r="A50" s="9" t="inlineStr">
        <is>
          <t>道北</t>
        </is>
      </c>
      <c r="B50" s="18" t="inlineStr">
        <is>
          <t>株式会社早川牧場 / 有限会社下士別畜産 (もろみ豚 共同販売)</t>
        </is>
      </c>
      <c r="C50" s="12" t="inlineStr">
        <is>
          <t>http://www.moromi.co.jp/</t>
        </is>
      </c>
      <c r="D50" s="18" t="inlineStr">
        <is>
          <t>北海道士別市下士別町41線東3 (早川牧場) / 41線18 (下士別畜産) (〒095-0061)</t>
        </is>
      </c>
      <c r="E50" s="18" t="inlineStr">
        <is>
          <t>0165-22-4157 (早川牧場) / 0165-23-3928 (下士別畜産)</t>
        </is>
      </c>
      <c r="F50" s="9" t="inlineStr">
        <is>
          <t>肉牛生産/独自ブランド</t>
        </is>
      </c>
      <c r="G50" s="9" t="inlineStr">
        <is>
          <t>良質な肉質を保つための飼育管理</t>
        </is>
      </c>
      <c r="H50" s="9" t="inlineStr">
        <is>
          <t>採用コスト不要の若手人材による基盤強化</t>
        </is>
      </c>
      <c r="I50" s="9" t="inlineStr">
        <is>
          <t>経営陣</t>
        </is>
      </c>
      <c r="J50" s="9" t="inlineStr">
        <is>
          <t>代表</t>
        </is>
      </c>
      <c r="K50" s="9" t="inlineStr">
        <is>
          <t>不明</t>
        </is>
      </c>
      <c r="L50" s="9" t="inlineStr">
        <is>
          <t>未確認</t>
        </is>
      </c>
      <c r="Q50" s="9" t="inlineStr">
        <is>
          <t>未開拓</t>
        </is>
      </c>
      <c r="R50" s="9" t="inlineStr">
        <is>
          <t>ターゲット</t>
        </is>
      </c>
      <c r="S50" s="9" t="inlineStr">
        <is>
          <t>リストアップ</t>
        </is>
      </c>
      <c r="AG50" s="9" t="inlineStr">
        <is>
          <t>営業推進部</t>
        </is>
      </c>
      <c r="AH50" s="9" t="inlineStr">
        <is>
          <t>武田 悦郎</t>
        </is>
      </c>
      <c r="AN50" s="9" t="inlineStr">
        <is>
          <t>未定</t>
        </is>
      </c>
      <c r="AQ50">
        <f>COUNTIFS(加電履歴!$F:$F,B50,加電履歴!$E:$E,"畜種農業")</f>
        <v/>
      </c>
      <c r="AR50" s="10">
        <f>IFERROR(IF(COUNTIFS(加電履歴!$F:$F,B50,加電履歴!$E:$E,"畜種農業")=0,"",MAXIFS(加電履歴!$B:$B,加電履歴!$F:$F,B50,加電履歴!$E:$E,"畜種農業")),"")</f>
        <v/>
      </c>
      <c r="AS50">
        <f>IFERROR(IF(COUNTIFS(加電履歴!$F:$F,B50,加電履歴!$E:$E,"畜種農業")=0,"",INDEX(加電履歴!$I:$I,MATCH(1,(加電履歴!$F:$F=B50)*(加電履歴!$E:$E="畜種農業")*(加電履歴!$B:$B=MAXIFS(加電履歴!$B:$B,加電履歴!$F:$F,B50,加電履歴!$E:$E,"畜種農業")),0))),"")</f>
        <v/>
      </c>
    </row>
    <row r="51">
      <c r="A51" s="9" t="inlineStr">
        <is>
          <t>道北</t>
        </is>
      </c>
      <c r="B51" s="18" t="inlineStr">
        <is>
          <t>美瑛放牧酪農場 (株式会社美瑛ファーム)</t>
        </is>
      </c>
      <c r="C51" s="12" t="inlineStr">
        <is>
          <t>http://biei-farm.co.jp/</t>
        </is>
      </c>
      <c r="D51" s="18" t="inlineStr">
        <is>
          <t>北海道上川郡美瑛町新星平和5235</t>
        </is>
      </c>
      <c r="E51" s="18" t="inlineStr">
        <is>
          <t>0166-68-6777</t>
        </is>
      </c>
      <c r="F51" s="9" t="inlineStr">
        <is>
          <t>通年放牧酪農</t>
        </is>
      </c>
      <c r="G51" s="9" t="inlineStr">
        <is>
          <t>広大な放牧地の管理と業務兼務</t>
        </is>
      </c>
      <c r="H51" s="9" t="inlineStr">
        <is>
          <t>バックヤードの飼育管理を担う人材提供</t>
        </is>
      </c>
      <c r="I51" s="9" t="inlineStr">
        <is>
          <t>経営陣</t>
        </is>
      </c>
      <c r="J51" s="9" t="inlineStr">
        <is>
          <t>代表</t>
        </is>
      </c>
      <c r="K51" s="9" t="inlineStr">
        <is>
          <t>不明</t>
        </is>
      </c>
      <c r="L51" s="9" t="inlineStr">
        <is>
          <t>未確認</t>
        </is>
      </c>
      <c r="Q51" s="9" t="inlineStr">
        <is>
          <t>未開拓</t>
        </is>
      </c>
      <c r="R51" s="9" t="inlineStr">
        <is>
          <t>ターゲット</t>
        </is>
      </c>
      <c r="S51" s="9" t="inlineStr">
        <is>
          <t>リストアップ</t>
        </is>
      </c>
      <c r="AG51" s="9" t="inlineStr">
        <is>
          <t>営業推進部</t>
        </is>
      </c>
      <c r="AH51" s="9" t="inlineStr">
        <is>
          <t>武田 悦郎</t>
        </is>
      </c>
      <c r="AN51" s="9" t="inlineStr">
        <is>
          <t>未定</t>
        </is>
      </c>
      <c r="AQ51">
        <f>COUNTIFS(加電履歴!$F:$F,B51,加電履歴!$E:$E,"畜種農業")</f>
        <v/>
      </c>
      <c r="AR51" s="10">
        <f>IFERROR(IF(COUNTIFS(加電履歴!$F:$F,B51,加電履歴!$E:$E,"畜種農業")=0,"",MAXIFS(加電履歴!$B:$B,加電履歴!$F:$F,B51,加電履歴!$E:$E,"畜種農業")),"")</f>
        <v/>
      </c>
      <c r="AS51">
        <f>IFERROR(IF(COUNTIFS(加電履歴!$F:$F,B51,加電履歴!$E:$E,"畜種農業")=0,"",INDEX(加電履歴!$I:$I,MATCH(1,(加電履歴!$F:$F=B51)*(加電履歴!$E:$E="畜種農業")*(加電履歴!$B:$B=MAXIFS(加電履歴!$B:$B,加電履歴!$F:$F,B51,加電履歴!$E:$E,"畜種農業")),0))),"")</f>
        <v/>
      </c>
    </row>
    <row r="52">
      <c r="A52" s="9" t="inlineStr">
        <is>
          <t>道北</t>
        </is>
      </c>
      <c r="B52" s="18" t="inlineStr">
        <is>
          <t>ファームズ千代田</t>
        </is>
      </c>
      <c r="C52" s="12" t="inlineStr">
        <is>
          <t>https://f-chiyoda.com/</t>
        </is>
      </c>
      <c r="D52" s="18" t="inlineStr">
        <is>
          <t>北海道上川郡美瑛町春日台4221</t>
        </is>
      </c>
      <c r="E52" s="18" t="inlineStr">
        <is>
          <t>0166-92-7015</t>
        </is>
      </c>
      <c r="F52" s="9" t="inlineStr">
        <is>
          <t>びえい和牛生産・ふれあい牧場</t>
        </is>
      </c>
      <c r="G52" s="9" t="inlineStr">
        <is>
          <t>畜産・観光の多角化による労働力分散</t>
        </is>
      </c>
      <c r="H52" s="9" t="inlineStr">
        <is>
          <t>各部門へ柔軟に配置できる特定技能人材</t>
        </is>
      </c>
      <c r="I52" s="9" t="inlineStr">
        <is>
          <t>経営陣</t>
        </is>
      </c>
      <c r="J52" s="9" t="inlineStr">
        <is>
          <t>代表</t>
        </is>
      </c>
      <c r="K52" s="9" t="inlineStr">
        <is>
          <t>不明</t>
        </is>
      </c>
      <c r="L52" s="9" t="inlineStr">
        <is>
          <t>未確認</t>
        </is>
      </c>
      <c r="Q52" s="9" t="inlineStr">
        <is>
          <t>未開拓</t>
        </is>
      </c>
      <c r="R52" s="9" t="inlineStr">
        <is>
          <t>ターゲット</t>
        </is>
      </c>
      <c r="S52" s="9" t="inlineStr">
        <is>
          <t>リストアップ</t>
        </is>
      </c>
      <c r="AG52" s="9" t="inlineStr">
        <is>
          <t>営業推進部</t>
        </is>
      </c>
      <c r="AH52" s="9" t="inlineStr">
        <is>
          <t>武田 悦郎</t>
        </is>
      </c>
      <c r="AN52" s="9" t="inlineStr">
        <is>
          <t>未定</t>
        </is>
      </c>
      <c r="AQ52">
        <f>COUNTIFS(加電履歴!$F:$F,B52,加電履歴!$E:$E,"畜種農業")</f>
        <v/>
      </c>
      <c r="AR52" s="10">
        <f>IFERROR(IF(COUNTIFS(加電履歴!$F:$F,B52,加電履歴!$E:$E,"畜種農業")=0,"",MAXIFS(加電履歴!$B:$B,加電履歴!$F:$F,B52,加電履歴!$E:$E,"畜種農業")),"")</f>
        <v/>
      </c>
      <c r="AS52">
        <f>IFERROR(IF(COUNTIFS(加電履歴!$F:$F,B52,加電履歴!$E:$E,"畜種農業")=0,"",INDEX(加電履歴!$I:$I,MATCH(1,(加電履歴!$F:$F=B52)*(加電履歴!$E:$E="畜種農業")*(加電履歴!$B:$B=MAXIFS(加電履歴!$B:$B,加電履歴!$F:$F,B52,加電履歴!$E:$E,"畜種農業")),0))),"")</f>
        <v/>
      </c>
    </row>
    <row r="53">
      <c r="A53" s="9" t="inlineStr">
        <is>
          <t>道北</t>
        </is>
      </c>
      <c r="B53" s="18" t="inlineStr">
        <is>
          <t>富良野牧場</t>
        </is>
      </c>
      <c r="C53" s="12" t="inlineStr">
        <is>
          <t>https://furanobokujo.com/</t>
        </is>
      </c>
      <c r="D53" s="18" t="inlineStr">
        <is>
          <t>北海道富良野市東鳥沼1 (〒076-0041)</t>
        </is>
      </c>
      <c r="E53" s="18" t="inlineStr">
        <is>
          <t>0167-22-1543</t>
        </is>
      </c>
      <c r="F53" s="9" t="inlineStr">
        <is>
          <t>養豚・ハムソーセージ製造</t>
        </is>
      </c>
      <c r="G53" s="9" t="inlineStr">
        <is>
          <t>製法維持と加工ラインの労働力確保</t>
        </is>
      </c>
      <c r="H53" s="9" t="inlineStr">
        <is>
          <t>製造加工部門で即戦力となる人材の配置</t>
        </is>
      </c>
      <c r="I53" s="9" t="inlineStr">
        <is>
          <t>経営陣</t>
        </is>
      </c>
      <c r="J53" s="9" t="inlineStr">
        <is>
          <t>代表</t>
        </is>
      </c>
      <c r="K53" s="9" t="inlineStr">
        <is>
          <t>不明</t>
        </is>
      </c>
      <c r="L53" s="9" t="inlineStr">
        <is>
          <t>未確認</t>
        </is>
      </c>
      <c r="Q53" s="9" t="inlineStr">
        <is>
          <t>未開拓</t>
        </is>
      </c>
      <c r="R53" s="9" t="inlineStr">
        <is>
          <t>ターゲット</t>
        </is>
      </c>
      <c r="S53" s="9" t="inlineStr">
        <is>
          <t>リストアップ</t>
        </is>
      </c>
      <c r="AG53" s="9" t="inlineStr">
        <is>
          <t>営業推進部</t>
        </is>
      </c>
      <c r="AH53" s="9" t="inlineStr">
        <is>
          <t>武田 悦郎</t>
        </is>
      </c>
      <c r="AN53" s="9" t="inlineStr">
        <is>
          <t>未定</t>
        </is>
      </c>
      <c r="AQ53">
        <f>COUNTIFS(加電履歴!$F:$F,B53,加電履歴!$E:$E,"畜種農業")</f>
        <v/>
      </c>
      <c r="AR53" s="10">
        <f>IFERROR(IF(COUNTIFS(加電履歴!$F:$F,B53,加電履歴!$E:$E,"畜種農業")=0,"",MAXIFS(加電履歴!$B:$B,加電履歴!$F:$F,B53,加電履歴!$E:$E,"畜種農業")),"")</f>
        <v/>
      </c>
      <c r="AS53">
        <f>IFERROR(IF(COUNTIFS(加電履歴!$F:$F,B53,加電履歴!$E:$E,"畜種農業")=0,"",INDEX(加電履歴!$I:$I,MATCH(1,(加電履歴!$F:$F=B53)*(加電履歴!$E:$E="畜種農業")*(加電履歴!$B:$B=MAXIFS(加電履歴!$B:$B,加電履歴!$F:$F,B53,加電履歴!$E:$E,"畜種農業")),0))),"")</f>
        <v/>
      </c>
    </row>
    <row r="54">
      <c r="A54" s="9" t="inlineStr">
        <is>
          <t>道北</t>
        </is>
      </c>
      <c r="B54" s="18" t="inlineStr">
        <is>
          <t>株式会社サロベツファーム</t>
        </is>
      </c>
      <c r="C54" s="14" t="inlineStr"/>
      <c r="D54" s="18" t="inlineStr">
        <is>
          <t>北海道天塩郡豊富町字上サロベツ796番地13</t>
        </is>
      </c>
      <c r="E54" s="18" t="inlineStr">
        <is>
          <t>0162-84-2377</t>
        </is>
      </c>
      <c r="F54" s="9" t="inlineStr">
        <is>
          <t>食肉加工/独自ブランド</t>
        </is>
      </c>
      <c r="G54" s="9" t="inlineStr">
        <is>
          <t>加工品の生産量維持に伴う人員確保</t>
        </is>
      </c>
      <c r="H54" s="9" t="inlineStr">
        <is>
          <t>採用コストゼロで加工現場の即戦力を提供</t>
        </is>
      </c>
      <c r="I54" s="9" t="inlineStr">
        <is>
          <t>経営陣</t>
        </is>
      </c>
      <c r="J54" s="9" t="inlineStr">
        <is>
          <t>代表</t>
        </is>
      </c>
      <c r="K54" s="9" t="inlineStr">
        <is>
          <t>不明</t>
        </is>
      </c>
      <c r="L54" s="9" t="inlineStr">
        <is>
          <t>未確認</t>
        </is>
      </c>
      <c r="Q54" s="9" t="inlineStr">
        <is>
          <t>未開拓</t>
        </is>
      </c>
      <c r="R54" s="9" t="inlineStr">
        <is>
          <t>ターゲット</t>
        </is>
      </c>
      <c r="S54" s="9" t="inlineStr">
        <is>
          <t>リストアップ</t>
        </is>
      </c>
      <c r="AG54" s="9" t="inlineStr">
        <is>
          <t>営業推進部</t>
        </is>
      </c>
      <c r="AH54" s="9" t="inlineStr">
        <is>
          <t>武田 悦郎</t>
        </is>
      </c>
      <c r="AN54" s="9" t="inlineStr">
        <is>
          <t>未定</t>
        </is>
      </c>
      <c r="AQ54">
        <f>COUNTIFS(加電履歴!$F:$F,B54,加電履歴!$E:$E,"畜種農業")</f>
        <v/>
      </c>
      <c r="AR54" s="10">
        <f>IFERROR(IF(COUNTIFS(加電履歴!$F:$F,B54,加電履歴!$E:$E,"畜種農業")=0,"",MAXIFS(加電履歴!$B:$B,加電履歴!$F:$F,B54,加電履歴!$E:$E,"畜種農業")),"")</f>
        <v/>
      </c>
      <c r="AS54">
        <f>IFERROR(IF(COUNTIFS(加電履歴!$F:$F,B54,加電履歴!$E:$E,"畜種農業")=0,"",INDEX(加電履歴!$I:$I,MATCH(1,(加電履歴!$F:$F=B54)*(加電履歴!$E:$E="畜種農業")*(加電履歴!$B:$B=MAXIFS(加電履歴!$B:$B,加電履歴!$F:$F,B54,加電履歴!$E:$E,"畜種農業")),0))),"")</f>
        <v/>
      </c>
    </row>
    <row r="55">
      <c r="A55" s="9" t="inlineStr">
        <is>
          <t>道北</t>
        </is>
      </c>
      <c r="B55" s="18" t="inlineStr">
        <is>
          <t>株式会社豊富牛乳公社</t>
        </is>
      </c>
      <c r="C55" s="12" t="inlineStr">
        <is>
          <t>https://www.toyotomi-milk.co.jp/</t>
        </is>
      </c>
      <c r="D55" s="18" t="inlineStr">
        <is>
          <t>北海道天塩郡豊富町上サロベツ1184 (〒098-4100)</t>
        </is>
      </c>
      <c r="E55" s="18" t="inlineStr">
        <is>
          <t>0162-82-2576</t>
        </is>
      </c>
      <c r="F55" s="9" t="inlineStr">
        <is>
          <t>豊富牛乳の製造加工</t>
        </is>
      </c>
      <c r="G55" s="9" t="inlineStr">
        <is>
          <t>製造ラインにおける安定した人員配置</t>
        </is>
      </c>
      <c r="H55" s="9" t="inlineStr">
        <is>
          <t>工場内の製造を担う定住型人材の提案</t>
        </is>
      </c>
      <c r="I55" s="9" t="inlineStr">
        <is>
          <t>管理部</t>
        </is>
      </c>
      <c r="J55" s="9" t="inlineStr">
        <is>
          <t>工場長</t>
        </is>
      </c>
      <c r="K55" s="9" t="inlineStr">
        <is>
          <t>不明</t>
        </is>
      </c>
      <c r="L55" s="9" t="inlineStr">
        <is>
          <t>未確認</t>
        </is>
      </c>
      <c r="Q55" s="9" t="inlineStr">
        <is>
          <t>未開拓</t>
        </is>
      </c>
      <c r="R55" s="9" t="inlineStr">
        <is>
          <t>ターゲット</t>
        </is>
      </c>
      <c r="S55" s="9" t="inlineStr">
        <is>
          <t>リストアップ</t>
        </is>
      </c>
      <c r="AG55" s="9" t="inlineStr">
        <is>
          <t>営業推進部</t>
        </is>
      </c>
      <c r="AH55" s="9" t="inlineStr">
        <is>
          <t>武田 悦郎</t>
        </is>
      </c>
      <c r="AN55" s="9" t="inlineStr">
        <is>
          <t>未定</t>
        </is>
      </c>
      <c r="AQ55">
        <f>COUNTIFS(加電履歴!$F:$F,B55,加電履歴!$E:$E,"畜種農業")</f>
        <v/>
      </c>
      <c r="AR55" s="10">
        <f>IFERROR(IF(COUNTIFS(加電履歴!$F:$F,B55,加電履歴!$E:$E,"畜種農業")=0,"",MAXIFS(加電履歴!$B:$B,加電履歴!$F:$F,B55,加電履歴!$E:$E,"畜種農業")),"")</f>
        <v/>
      </c>
      <c r="AS55">
        <f>IFERROR(IF(COUNTIFS(加電履歴!$F:$F,B55,加電履歴!$E:$E,"畜種農業")=0,"",INDEX(加電履歴!$I:$I,MATCH(1,(加電履歴!$F:$F=B55)*(加電履歴!$E:$E="畜種農業")*(加電履歴!$B:$B=MAXIFS(加電履歴!$B:$B,加電履歴!$F:$F,B55,加電履歴!$E:$E,"畜種農業")),0))),"")</f>
        <v/>
      </c>
    </row>
    <row r="56">
      <c r="A56" s="9" t="inlineStr">
        <is>
          <t>道北</t>
        </is>
      </c>
      <c r="B56" s="18" t="inlineStr">
        <is>
          <t>日本ハム北海道ファクトリー株式会社 旭川工場</t>
        </is>
      </c>
      <c r="C56" s="12" t="inlineStr">
        <is>
          <t>https://www.nipponham-hokkaidofa.co.jp/</t>
        </is>
      </c>
      <c r="D56" s="18" t="inlineStr">
        <is>
          <t>北海道旭川市工業団地1条3丁目1番37号 (〒078-8271)</t>
        </is>
      </c>
      <c r="E56" s="18" t="inlineStr">
        <is>
          <t>0166-76-1186</t>
        </is>
      </c>
      <c r="F56" s="9" t="inlineStr">
        <is>
          <t>食肉加工（美ノ国等）</t>
        </is>
      </c>
      <c r="G56" s="9" t="inlineStr">
        <is>
          <t>年間5,000トン生産体制を支える労働力</t>
        </is>
      </c>
      <c r="H56" s="9" t="inlineStr">
        <is>
          <t>大規模工場における特定技能の通年雇用</t>
        </is>
      </c>
      <c r="I56" s="9" t="inlineStr">
        <is>
          <t>総務部</t>
        </is>
      </c>
      <c r="J56" s="9" t="inlineStr">
        <is>
          <t>工場長</t>
        </is>
      </c>
      <c r="K56" s="9" t="inlineStr">
        <is>
          <t>不明</t>
        </is>
      </c>
      <c r="L56" s="9" t="inlineStr">
        <is>
          <t>未確認</t>
        </is>
      </c>
      <c r="Q56" s="9" t="inlineStr">
        <is>
          <t>未開拓</t>
        </is>
      </c>
      <c r="R56" s="9" t="inlineStr">
        <is>
          <t>ターゲット</t>
        </is>
      </c>
      <c r="S56" s="9" t="inlineStr">
        <is>
          <t>リストアップ</t>
        </is>
      </c>
      <c r="AG56" s="9" t="inlineStr">
        <is>
          <t>営業推進部</t>
        </is>
      </c>
      <c r="AH56" s="9" t="inlineStr">
        <is>
          <t>武田 悦郎</t>
        </is>
      </c>
      <c r="AN56" s="9" t="inlineStr">
        <is>
          <t>未定</t>
        </is>
      </c>
      <c r="AQ56">
        <f>COUNTIFS(加電履歴!$F:$F,B56,加電履歴!$E:$E,"畜種農業")</f>
        <v/>
      </c>
      <c r="AR56" s="10">
        <f>IFERROR(IF(COUNTIFS(加電履歴!$F:$F,B56,加電履歴!$E:$E,"畜種農業")=0,"",MAXIFS(加電履歴!$B:$B,加電履歴!$F:$F,B56,加電履歴!$E:$E,"畜種農業")),"")</f>
        <v/>
      </c>
      <c r="AS56">
        <f>IFERROR(IF(COUNTIFS(加電履歴!$F:$F,B56,加電履歴!$E:$E,"畜種農業")=0,"",INDEX(加電履歴!$I:$I,MATCH(1,(加電履歴!$F:$F=B56)*(加電履歴!$E:$E="畜種農業")*(加電履歴!$B:$B=MAXIFS(加電履歴!$B:$B,加電履歴!$F:$F,B56,加電履歴!$E:$E,"畜種農業")),0))),"")</f>
        <v/>
      </c>
    </row>
    <row r="57">
      <c r="A57" s="9" t="inlineStr">
        <is>
          <t>道北</t>
        </is>
      </c>
      <c r="B57" s="18" t="inlineStr">
        <is>
          <t>東宗谷農業協同組合 猿払支所/畜産事業所</t>
        </is>
      </c>
      <c r="C57" s="12" t="inlineStr">
        <is>
          <t>https://www.ja-esoya.com/</t>
        </is>
      </c>
      <c r="D57" s="18" t="inlineStr">
        <is>
          <t>北海道宗谷郡猿払村鬼志別西町51</t>
        </is>
      </c>
      <c r="E57" s="18" t="inlineStr">
        <is>
          <t>01635-2-3312 (猿払支所代表)</t>
        </is>
      </c>
      <c r="F57" s="9" t="inlineStr">
        <is>
          <t>JA運営事業所・公共牧場</t>
        </is>
      </c>
      <c r="G57" s="9" t="inlineStr">
        <is>
          <t>広大な牧草地の維持・管理</t>
        </is>
      </c>
      <c r="H57" s="9" t="inlineStr">
        <is>
          <t>公共施設の安定稼働を即戦力で支援</t>
        </is>
      </c>
      <c r="I57" s="9" t="inlineStr">
        <is>
          <t>畜産部</t>
        </is>
      </c>
      <c r="J57" s="9" t="inlineStr">
        <is>
          <t>管理者</t>
        </is>
      </c>
      <c r="K57" s="9" t="inlineStr">
        <is>
          <t>不明</t>
        </is>
      </c>
      <c r="L57" s="9" t="inlineStr">
        <is>
          <t>未確認</t>
        </is>
      </c>
      <c r="Q57" s="9" t="inlineStr">
        <is>
          <t>未開拓</t>
        </is>
      </c>
      <c r="R57" s="9" t="inlineStr">
        <is>
          <t>ターゲット</t>
        </is>
      </c>
      <c r="S57" s="9" t="inlineStr">
        <is>
          <t>リストアップ</t>
        </is>
      </c>
      <c r="AG57" s="9" t="inlineStr">
        <is>
          <t>営業推進部</t>
        </is>
      </c>
      <c r="AH57" s="9" t="inlineStr">
        <is>
          <t>武田 悦郎</t>
        </is>
      </c>
      <c r="AN57" s="9" t="inlineStr">
        <is>
          <t>未定</t>
        </is>
      </c>
      <c r="AQ57">
        <f>COUNTIFS(加電履歴!$F:$F,B57,加電履歴!$E:$E,"畜種農業")</f>
        <v/>
      </c>
      <c r="AR57" s="10">
        <f>IFERROR(IF(COUNTIFS(加電履歴!$F:$F,B57,加電履歴!$E:$E,"畜種農業")=0,"",MAXIFS(加電履歴!$B:$B,加電履歴!$F:$F,B57,加電履歴!$E:$E,"畜種農業")),"")</f>
        <v/>
      </c>
      <c r="AS57">
        <f>IFERROR(IF(COUNTIFS(加電履歴!$F:$F,B57,加電履歴!$E:$E,"畜種農業")=0,"",INDEX(加電履歴!$I:$I,MATCH(1,(加電履歴!$F:$F=B57)*(加電履歴!$E:$E="畜種農業")*(加電履歴!$B:$B=MAXIFS(加電履歴!$B:$B,加電履歴!$F:$F,B57,加電履歴!$E:$E,"畜種農業")),0))),"")</f>
        <v/>
      </c>
    </row>
    <row r="58">
      <c r="A58" s="9" t="inlineStr">
        <is>
          <t>道北</t>
        </is>
      </c>
      <c r="B58" s="18" t="inlineStr">
        <is>
          <t>旭川市営牧場 (嵐山牧場)</t>
        </is>
      </c>
      <c r="C58" s="12" t="inlineStr">
        <is>
          <t>https://www.city.asahikawa.hokkaido.jp/500/501/504/p005231.html</t>
        </is>
      </c>
      <c r="D58" s="18" t="inlineStr">
        <is>
          <t>北海道旭川市江丹別町中央</t>
        </is>
      </c>
      <c r="E58" s="18" t="inlineStr">
        <is>
          <t>0166-73-2451 (現地) / 0166-73-2036 (指定管理者:江丹別産業開発) / 0166-25-7470 (市農政部)</t>
        </is>
      </c>
      <c r="F58" s="9" t="inlineStr">
        <is>
          <t>市営の公共牧場</t>
        </is>
      </c>
      <c r="G58" s="9" t="inlineStr">
        <is>
          <t>公共施設の放牧管理</t>
        </is>
      </c>
      <c r="H58" s="9" t="inlineStr">
        <is>
          <t>施設の安定稼働を即戦力で支援</t>
        </is>
      </c>
      <c r="I58" s="9" t="inlineStr">
        <is>
          <t>農林部</t>
        </is>
      </c>
      <c r="J58" s="9" t="inlineStr">
        <is>
          <t>管理者</t>
        </is>
      </c>
      <c r="K58" s="9" t="inlineStr">
        <is>
          <t>不明</t>
        </is>
      </c>
      <c r="L58" s="9" t="inlineStr">
        <is>
          <t>未確認</t>
        </is>
      </c>
      <c r="Q58" s="9" t="inlineStr">
        <is>
          <t>未開拓</t>
        </is>
      </c>
      <c r="R58" s="9" t="inlineStr">
        <is>
          <t>ターゲット</t>
        </is>
      </c>
      <c r="S58" s="9" t="inlineStr">
        <is>
          <t>リストアップ</t>
        </is>
      </c>
      <c r="AG58" s="9" t="inlineStr">
        <is>
          <t>営業推進部</t>
        </is>
      </c>
      <c r="AH58" s="9" t="inlineStr">
        <is>
          <t>武田 悦郎</t>
        </is>
      </c>
      <c r="AN58" s="9" t="inlineStr">
        <is>
          <t>未定</t>
        </is>
      </c>
      <c r="AQ58">
        <f>COUNTIFS(加電履歴!$F:$F,B58,加電履歴!$E:$E,"畜種農業")</f>
        <v/>
      </c>
      <c r="AR58" s="10">
        <f>IFERROR(IF(COUNTIFS(加電履歴!$F:$F,B58,加電履歴!$E:$E,"畜種農業")=0,"",MAXIFS(加電履歴!$B:$B,加電履歴!$F:$F,B58,加電履歴!$E:$E,"畜種農業")),"")</f>
        <v/>
      </c>
      <c r="AS58">
        <f>IFERROR(IF(COUNTIFS(加電履歴!$F:$F,B58,加電履歴!$E:$E,"畜種農業")=0,"",INDEX(加電履歴!$I:$I,MATCH(1,(加電履歴!$F:$F=B58)*(加電履歴!$E:$E="畜種農業")*(加電履歴!$B:$B=MAXIFS(加電履歴!$B:$B,加電履歴!$F:$F,B58,加電履歴!$E:$E,"畜種農業")),0))),"")</f>
        <v/>
      </c>
    </row>
    <row r="59">
      <c r="A59" s="9" t="inlineStr">
        <is>
          <t>道北</t>
        </is>
      </c>
      <c r="B59" s="18" t="inlineStr">
        <is>
          <t>士別市営天塩川牧場</t>
        </is>
      </c>
      <c r="C59" s="14" t="inlineStr"/>
      <c r="D59" s="18" t="inlineStr">
        <is>
          <t>北海道士別市 ※詳細要確認、士別市農業振興課が窓口</t>
        </is>
      </c>
      <c r="E59" s="18" t="inlineStr">
        <is>
          <t>0165-26-7030 (士別市農業振興課)</t>
        </is>
      </c>
      <c r="F59" s="9" t="inlineStr">
        <is>
          <t>市営の育成牧場</t>
        </is>
      </c>
      <c r="G59" s="9" t="inlineStr">
        <is>
          <t>預託牛の体調管理</t>
        </is>
      </c>
      <c r="H59" s="9" t="inlineStr">
        <is>
          <t>育成牛の飼養管理をサポート</t>
        </is>
      </c>
      <c r="I59" s="9" t="inlineStr">
        <is>
          <t>農林課</t>
        </is>
      </c>
      <c r="J59" s="9" t="inlineStr">
        <is>
          <t>管理者</t>
        </is>
      </c>
      <c r="K59" s="9" t="inlineStr">
        <is>
          <t>不明</t>
        </is>
      </c>
      <c r="L59" s="9" t="inlineStr">
        <is>
          <t>未確認</t>
        </is>
      </c>
      <c r="Q59" s="9" t="inlineStr">
        <is>
          <t>未開拓</t>
        </is>
      </c>
      <c r="R59" s="9" t="inlineStr">
        <is>
          <t>ターゲット</t>
        </is>
      </c>
      <c r="S59" s="9" t="inlineStr">
        <is>
          <t>リストアップ</t>
        </is>
      </c>
      <c r="AG59" s="9" t="inlineStr">
        <is>
          <t>営業推進部</t>
        </is>
      </c>
      <c r="AH59" s="9" t="inlineStr">
        <is>
          <t>武田 悦郎</t>
        </is>
      </c>
      <c r="AN59" s="9" t="inlineStr">
        <is>
          <t>未定</t>
        </is>
      </c>
      <c r="AQ59">
        <f>COUNTIFS(加電履歴!$F:$F,B59,加電履歴!$E:$E,"畜種農業")</f>
        <v/>
      </c>
      <c r="AR59" s="10">
        <f>IFERROR(IF(COUNTIFS(加電履歴!$F:$F,B59,加電履歴!$E:$E,"畜種農業")=0,"",MAXIFS(加電履歴!$B:$B,加電履歴!$F:$F,B59,加電履歴!$E:$E,"畜種農業")),"")</f>
        <v/>
      </c>
      <c r="AS59">
        <f>IFERROR(IF(COUNTIFS(加電履歴!$F:$F,B59,加電履歴!$E:$E,"畜種農業")=0,"",INDEX(加電履歴!$I:$I,MATCH(1,(加電履歴!$F:$F=B59)*(加電履歴!$E:$E="畜種農業")*(加電履歴!$B:$B=MAXIFS(加電履歴!$B:$B,加電履歴!$F:$F,B59,加電履歴!$E:$E,"畜種農業")),0))),"")</f>
        <v/>
      </c>
    </row>
    <row r="60">
      <c r="A60" s="9" t="inlineStr">
        <is>
          <t>道北</t>
        </is>
      </c>
      <c r="B60" s="18" t="inlineStr">
        <is>
          <t>豊富町大規模草地育成牧場 (町営牧場)</t>
        </is>
      </c>
      <c r="C60" s="14" t="inlineStr"/>
      <c r="D60" s="18" t="inlineStr">
        <is>
          <t>北海道天塩郡豊富町上福永</t>
        </is>
      </c>
      <c r="E60" s="18" t="inlineStr">
        <is>
          <t>0162-82-2781</t>
        </is>
      </c>
      <c r="F60" s="9" t="inlineStr">
        <is>
          <t>町営の公共牧場</t>
        </is>
      </c>
      <c r="G60" s="9" t="inlineStr">
        <is>
          <t>大規模な牧草地の維持</t>
        </is>
      </c>
      <c r="H60" s="9" t="inlineStr">
        <is>
          <t>採用コスト不要の即戦力人材</t>
        </is>
      </c>
      <c r="I60" s="9" t="inlineStr">
        <is>
          <t>農林水産課</t>
        </is>
      </c>
      <c r="J60" s="9" t="inlineStr">
        <is>
          <t>管理者</t>
        </is>
      </c>
      <c r="K60" s="9" t="inlineStr">
        <is>
          <t>不明</t>
        </is>
      </c>
      <c r="L60" s="9" t="inlineStr">
        <is>
          <t>未確認</t>
        </is>
      </c>
      <c r="Q60" s="9" t="inlineStr">
        <is>
          <t>未開拓</t>
        </is>
      </c>
      <c r="R60" s="9" t="inlineStr">
        <is>
          <t>ターゲット</t>
        </is>
      </c>
      <c r="S60" s="9" t="inlineStr">
        <is>
          <t>リストアップ</t>
        </is>
      </c>
      <c r="AG60" s="9" t="inlineStr">
        <is>
          <t>営業推進部</t>
        </is>
      </c>
      <c r="AH60" s="9" t="inlineStr">
        <is>
          <t>武田 悦郎</t>
        </is>
      </c>
      <c r="AN60" s="9" t="inlineStr">
        <is>
          <t>未定</t>
        </is>
      </c>
      <c r="AQ60">
        <f>COUNTIFS(加電履歴!$F:$F,B60,加電履歴!$E:$E,"畜種農業")</f>
        <v/>
      </c>
      <c r="AR60" s="10">
        <f>IFERROR(IF(COUNTIFS(加電履歴!$F:$F,B60,加電履歴!$E:$E,"畜種農業")=0,"",MAXIFS(加電履歴!$B:$B,加電履歴!$F:$F,B60,加電履歴!$E:$E,"畜種農業")),"")</f>
        <v/>
      </c>
      <c r="AS60">
        <f>IFERROR(IF(COUNTIFS(加電履歴!$F:$F,B60,加電履歴!$E:$E,"畜種農業")=0,"",INDEX(加電履歴!$I:$I,MATCH(1,(加電履歴!$F:$F=B60)*(加電履歴!$E:$E="畜種農業")*(加電履歴!$B:$B=MAXIFS(加電履歴!$B:$B,加電履歴!$F:$F,B60,加電履歴!$E:$E,"畜種農業")),0))),"")</f>
        <v/>
      </c>
    </row>
    <row r="61">
      <c r="A61" s="9" t="inlineStr">
        <is>
          <t>道北</t>
        </is>
      </c>
      <c r="B61" s="18" t="inlineStr">
        <is>
          <t>猿払村営牧場</t>
        </is>
      </c>
      <c r="C61" s="14" t="inlineStr"/>
      <c r="D61" s="18" t="inlineStr">
        <is>
          <t>北海道宗谷郡猿払村 (国道238号沿い)</t>
        </is>
      </c>
      <c r="E61" s="18" t="inlineStr">
        <is>
          <t>01635-2-3134 (猿払村産業課)</t>
        </is>
      </c>
      <c r="F61" s="9" t="inlineStr">
        <is>
          <t>村営の公共牧場</t>
        </is>
      </c>
      <c r="G61" s="9" t="inlineStr">
        <is>
          <t>酪農家からの育成牛管理</t>
        </is>
      </c>
      <c r="H61" s="9" t="inlineStr">
        <is>
          <t>育成牛管理における人員確保</t>
        </is>
      </c>
      <c r="I61" s="9" t="inlineStr">
        <is>
          <t>農林課</t>
        </is>
      </c>
      <c r="J61" s="9" t="inlineStr">
        <is>
          <t>管理者</t>
        </is>
      </c>
      <c r="K61" s="9" t="inlineStr">
        <is>
          <t>不明</t>
        </is>
      </c>
      <c r="L61" s="9" t="inlineStr">
        <is>
          <t>未確認</t>
        </is>
      </c>
      <c r="Q61" s="9" t="inlineStr">
        <is>
          <t>未開拓</t>
        </is>
      </c>
      <c r="R61" s="9" t="inlineStr">
        <is>
          <t>ターゲット</t>
        </is>
      </c>
      <c r="S61" s="9" t="inlineStr">
        <is>
          <t>リストアップ</t>
        </is>
      </c>
      <c r="AG61" s="9" t="inlineStr">
        <is>
          <t>営業推進部</t>
        </is>
      </c>
      <c r="AH61" s="9" t="inlineStr">
        <is>
          <t>武田 悦郎</t>
        </is>
      </c>
      <c r="AN61" s="9" t="inlineStr">
        <is>
          <t>未定</t>
        </is>
      </c>
      <c r="AQ61">
        <f>COUNTIFS(加電履歴!$F:$F,B61,加電履歴!$E:$E,"畜種農業")</f>
        <v/>
      </c>
      <c r="AR61" s="10">
        <f>IFERROR(IF(COUNTIFS(加電履歴!$F:$F,B61,加電履歴!$E:$E,"畜種農業")=0,"",MAXIFS(加電履歴!$B:$B,加電履歴!$F:$F,B61,加電履歴!$E:$E,"畜種農業")),"")</f>
        <v/>
      </c>
      <c r="AS61">
        <f>IFERROR(IF(COUNTIFS(加電履歴!$F:$F,B61,加電履歴!$E:$E,"畜種農業")=0,"",INDEX(加電履歴!$I:$I,MATCH(1,(加電履歴!$F:$F=B61)*(加電履歴!$E:$E="畜種農業")*(加電履歴!$B:$B=MAXIFS(加電履歴!$B:$B,加電履歴!$F:$F,B61,加電履歴!$E:$E,"畜種農業")),0))),"")</f>
        <v/>
      </c>
    </row>
    <row r="62">
      <c r="A62" s="9" t="inlineStr">
        <is>
          <t>道北</t>
        </is>
      </c>
      <c r="B62" s="18" t="inlineStr">
        <is>
          <t>名寄市営牧場</t>
        </is>
      </c>
      <c r="C62" s="14" t="inlineStr"/>
      <c r="D62" s="18" t="inlineStr">
        <is>
          <t>北海道名寄市 ※施設の存在要確認</t>
        </is>
      </c>
      <c r="E62" s="18" t="inlineStr">
        <is>
          <t>01654-3-2111 (名寄市役所代表) ※要確認</t>
        </is>
      </c>
      <c r="F62" s="9" t="inlineStr">
        <is>
          <t>市営の公共牧場</t>
        </is>
      </c>
      <c r="G62" s="9" t="inlineStr">
        <is>
          <t>施設の労働力確保</t>
        </is>
      </c>
      <c r="H62" s="9" t="inlineStr">
        <is>
          <t>施設管理を即戦力として担う人材提供</t>
        </is>
      </c>
      <c r="I62" s="9" t="inlineStr">
        <is>
          <t>農務課</t>
        </is>
      </c>
      <c r="J62" s="9" t="inlineStr">
        <is>
          <t>管理者</t>
        </is>
      </c>
      <c r="K62" s="9" t="inlineStr">
        <is>
          <t>不明</t>
        </is>
      </c>
      <c r="L62" s="9" t="inlineStr">
        <is>
          <t>未確認</t>
        </is>
      </c>
      <c r="Q62" s="9" t="inlineStr">
        <is>
          <t>未開拓</t>
        </is>
      </c>
      <c r="R62" s="9" t="inlineStr">
        <is>
          <t>ターゲット</t>
        </is>
      </c>
      <c r="S62" s="9" t="inlineStr">
        <is>
          <t>リストアップ</t>
        </is>
      </c>
      <c r="AG62" s="9" t="inlineStr">
        <is>
          <t>営業推進部</t>
        </is>
      </c>
      <c r="AH62" s="9" t="inlineStr">
        <is>
          <t>武田 悦郎</t>
        </is>
      </c>
      <c r="AN62" s="9" t="inlineStr">
        <is>
          <t>未定</t>
        </is>
      </c>
      <c r="AQ62">
        <f>COUNTIFS(加電履歴!$F:$F,B62,加電履歴!$E:$E,"畜種農業")</f>
        <v/>
      </c>
      <c r="AR62" s="10">
        <f>IFERROR(IF(COUNTIFS(加電履歴!$F:$F,B62,加電履歴!$E:$E,"畜種農業")=0,"",MAXIFS(加電履歴!$B:$B,加電履歴!$F:$F,B62,加電履歴!$E:$E,"畜種農業")),"")</f>
        <v/>
      </c>
      <c r="AS62">
        <f>IFERROR(IF(COUNTIFS(加電履歴!$F:$F,B62,加電履歴!$E:$E,"畜種農業")=0,"",INDEX(加電履歴!$I:$I,MATCH(1,(加電履歴!$F:$F=B62)*(加電履歴!$E:$E="畜種農業")*(加電履歴!$B:$B=MAXIFS(加電履歴!$B:$B,加電履歴!$F:$F,B62,加電履歴!$E:$E,"畜種農業")),0))),"")</f>
        <v/>
      </c>
    </row>
    <row r="63">
      <c r="A63" s="9" t="inlineStr">
        <is>
          <t>道北</t>
        </is>
      </c>
      <c r="B63" s="18" t="inlineStr">
        <is>
          <t>剣淵町営牧場</t>
        </is>
      </c>
      <c r="C63" s="14" t="inlineStr"/>
      <c r="D63" s="18" t="inlineStr">
        <is>
          <t>北海道上川郡剣淵町 ※詳細要確認</t>
        </is>
      </c>
      <c r="E63" s="18" t="inlineStr">
        <is>
          <t>0165-34-2121 (剣淵町役場代表) ※要確認</t>
        </is>
      </c>
      <c r="F63" s="9" t="inlineStr">
        <is>
          <t>町営の公共牧場</t>
        </is>
      </c>
      <c r="G63" s="9" t="inlineStr">
        <is>
          <t>放牧期間中の施設管理</t>
        </is>
      </c>
      <c r="H63" s="9" t="inlineStr">
        <is>
          <t>公共施設の安定稼働支援</t>
        </is>
      </c>
      <c r="I63" s="9" t="inlineStr">
        <is>
          <t>農政課</t>
        </is>
      </c>
      <c r="J63" s="9" t="inlineStr">
        <is>
          <t>管理者</t>
        </is>
      </c>
      <c r="K63" s="9" t="inlineStr">
        <is>
          <t>不明</t>
        </is>
      </c>
      <c r="L63" s="9" t="inlineStr">
        <is>
          <t>未確認</t>
        </is>
      </c>
      <c r="Q63" s="9" t="inlineStr">
        <is>
          <t>未開拓</t>
        </is>
      </c>
      <c r="R63" s="9" t="inlineStr">
        <is>
          <t>ターゲット</t>
        </is>
      </c>
      <c r="S63" s="9" t="inlineStr">
        <is>
          <t>リストアップ</t>
        </is>
      </c>
      <c r="AG63" s="9" t="inlineStr">
        <is>
          <t>営業推進部</t>
        </is>
      </c>
      <c r="AH63" s="9" t="inlineStr">
        <is>
          <t>武田 悦郎</t>
        </is>
      </c>
      <c r="AN63" s="9" t="inlineStr">
        <is>
          <t>未定</t>
        </is>
      </c>
      <c r="AQ63">
        <f>COUNTIFS(加電履歴!$F:$F,B63,加電履歴!$E:$E,"畜種農業")</f>
        <v/>
      </c>
      <c r="AR63" s="10">
        <f>IFERROR(IF(COUNTIFS(加電履歴!$F:$F,B63,加電履歴!$E:$E,"畜種農業")=0,"",MAXIFS(加電履歴!$B:$B,加電履歴!$F:$F,B63,加電履歴!$E:$E,"畜種農業")),"")</f>
        <v/>
      </c>
      <c r="AS63">
        <f>IFERROR(IF(COUNTIFS(加電履歴!$F:$F,B63,加電履歴!$E:$E,"畜種農業")=0,"",INDEX(加電履歴!$I:$I,MATCH(1,(加電履歴!$F:$F=B63)*(加電履歴!$E:$E="畜種農業")*(加電履歴!$B:$B=MAXIFS(加電履歴!$B:$B,加電履歴!$F:$F,B63,加電履歴!$E:$E,"畜種農業")),0))),"")</f>
        <v/>
      </c>
    </row>
    <row r="64">
      <c r="A64" s="9" t="inlineStr">
        <is>
          <t>道北</t>
        </is>
      </c>
      <c r="B64" s="18" t="inlineStr">
        <is>
          <t>天塩町営牧場 / 株式会社天塩町酪農振興公社</t>
        </is>
      </c>
      <c r="C64" s="14" t="inlineStr"/>
      <c r="D64" s="18" t="inlineStr">
        <is>
          <t>北海道天塩郡天塩町新地通6丁目2343 (公社)</t>
        </is>
      </c>
      <c r="E64" s="18" t="inlineStr">
        <is>
          <t>01632-2-1001 ※要確認、酪農振興公社経由</t>
        </is>
      </c>
      <c r="F64" s="9" t="inlineStr">
        <is>
          <t>町営の公共牧場</t>
        </is>
      </c>
      <c r="G64" s="9" t="inlineStr">
        <is>
          <t>広域な牧草地の管理作業</t>
        </is>
      </c>
      <c r="H64" s="9" t="inlineStr">
        <is>
          <t>採用コストゼロで柔軟な即戦力</t>
        </is>
      </c>
      <c r="I64" s="9" t="inlineStr">
        <is>
          <t>農林水産課</t>
        </is>
      </c>
      <c r="J64" s="9" t="inlineStr">
        <is>
          <t>管理者</t>
        </is>
      </c>
      <c r="K64" s="9" t="inlineStr">
        <is>
          <t>不明</t>
        </is>
      </c>
      <c r="L64" s="9" t="inlineStr">
        <is>
          <t>未確認</t>
        </is>
      </c>
      <c r="Q64" s="9" t="inlineStr">
        <is>
          <t>未開拓</t>
        </is>
      </c>
      <c r="R64" s="9" t="inlineStr">
        <is>
          <t>ターゲット</t>
        </is>
      </c>
      <c r="S64" s="9" t="inlineStr">
        <is>
          <t>リストアップ</t>
        </is>
      </c>
      <c r="AG64" s="9" t="inlineStr">
        <is>
          <t>営業推進部</t>
        </is>
      </c>
      <c r="AH64" s="9" t="inlineStr">
        <is>
          <t>武田 悦郎</t>
        </is>
      </c>
      <c r="AN64" s="9" t="inlineStr">
        <is>
          <t>未定</t>
        </is>
      </c>
      <c r="AQ64">
        <f>COUNTIFS(加電履歴!$F:$F,B64,加電履歴!$E:$E,"畜種農業")</f>
        <v/>
      </c>
      <c r="AR64" s="10">
        <f>IFERROR(IF(COUNTIFS(加電履歴!$F:$F,B64,加電履歴!$E:$E,"畜種農業")=0,"",MAXIFS(加電履歴!$B:$B,加電履歴!$F:$F,B64,加電履歴!$E:$E,"畜種農業")),"")</f>
        <v/>
      </c>
      <c r="AS64">
        <f>IFERROR(IF(COUNTIFS(加電履歴!$F:$F,B64,加電履歴!$E:$E,"畜種農業")=0,"",INDEX(加電履歴!$I:$I,MATCH(1,(加電履歴!$F:$F=B64)*(加電履歴!$E:$E="畜種農業")*(加電履歴!$B:$B=MAXIFS(加電履歴!$B:$B,加電履歴!$F:$F,B64,加電履歴!$E:$E,"畜種農業")),0))),"")</f>
        <v/>
      </c>
    </row>
    <row r="65">
      <c r="A65" s="9" t="inlineStr">
        <is>
          <t>道北</t>
        </is>
      </c>
      <c r="B65" s="18" t="inlineStr">
        <is>
          <t>幌延町営牧場 (ほろのべトナカイ観光牧場)</t>
        </is>
      </c>
      <c r="C65" s="12" t="inlineStr">
        <is>
          <t>http://www.tonakai-farm.com/</t>
        </is>
      </c>
      <c r="D65" s="18" t="inlineStr">
        <is>
          <t>北海道天塩郡幌延町字北進398番地1</t>
        </is>
      </c>
      <c r="E65" s="18" t="inlineStr">
        <is>
          <t>01632-5-1115 (役場産業建設課) / 01632-5-2050 (管理棟)</t>
        </is>
      </c>
      <c r="F65" s="9" t="inlineStr">
        <is>
          <t>町営の公共牧場</t>
        </is>
      </c>
      <c r="G65" s="9" t="inlineStr">
        <is>
          <t>安定した育成環境の維持</t>
        </is>
      </c>
      <c r="H65" s="9" t="inlineStr">
        <is>
          <t>即戦力を配置しオペレーション実現</t>
        </is>
      </c>
      <c r="I65" s="9" t="inlineStr">
        <is>
          <t>産業振興課</t>
        </is>
      </c>
      <c r="J65" s="9" t="inlineStr">
        <is>
          <t>管理者</t>
        </is>
      </c>
      <c r="K65" s="9" t="inlineStr">
        <is>
          <t>不明</t>
        </is>
      </c>
      <c r="L65" s="9" t="inlineStr">
        <is>
          <t>未確認</t>
        </is>
      </c>
      <c r="Q65" s="9" t="inlineStr">
        <is>
          <t>未開拓</t>
        </is>
      </c>
      <c r="R65" s="9" t="inlineStr">
        <is>
          <t>ターゲット</t>
        </is>
      </c>
      <c r="S65" s="9" t="inlineStr">
        <is>
          <t>リストアップ</t>
        </is>
      </c>
      <c r="AG65" s="9" t="inlineStr">
        <is>
          <t>営業推進部</t>
        </is>
      </c>
      <c r="AH65" s="9" t="inlineStr">
        <is>
          <t>武田 悦郎</t>
        </is>
      </c>
      <c r="AN65" s="9" t="inlineStr">
        <is>
          <t>未定</t>
        </is>
      </c>
      <c r="AQ65">
        <f>COUNTIFS(加電履歴!$F:$F,B65,加電履歴!$E:$E,"畜種農業")</f>
        <v/>
      </c>
      <c r="AR65" s="10">
        <f>IFERROR(IF(COUNTIFS(加電履歴!$F:$F,B65,加電履歴!$E:$E,"畜種農業")=0,"",MAXIFS(加電履歴!$B:$B,加電履歴!$F:$F,B65,加電履歴!$E:$E,"畜種農業")),"")</f>
        <v/>
      </c>
      <c r="AS65">
        <f>IFERROR(IF(COUNTIFS(加電履歴!$F:$F,B65,加電履歴!$E:$E,"畜種農業")=0,"",INDEX(加電履歴!$I:$I,MATCH(1,(加電履歴!$F:$F=B65)*(加電履歴!$E:$E="畜種農業")*(加電履歴!$B:$B=MAXIFS(加電履歴!$B:$B,加電履歴!$F:$F,B65,加電履歴!$E:$E,"畜種農業")),0))),"")</f>
        <v/>
      </c>
    </row>
    <row r="66">
      <c r="A66" s="9" t="inlineStr">
        <is>
          <t>道北</t>
        </is>
      </c>
      <c r="B66" s="18" t="inlineStr">
        <is>
          <t>上川町営牧場</t>
        </is>
      </c>
      <c r="C66" s="14" t="inlineStr"/>
      <c r="D66" s="18" t="inlineStr">
        <is>
          <t>北海道上川郡上川町 ※詳細要確認</t>
        </is>
      </c>
      <c r="E66" s="18" t="inlineStr">
        <is>
          <t>01658-2-4051 ※要確認、町役場経由</t>
        </is>
      </c>
      <c r="F66" s="9" t="inlineStr">
        <is>
          <t>町営の公共牧場</t>
        </is>
      </c>
      <c r="G66" s="9" t="inlineStr">
        <is>
          <t>自然環境下での牛群管理</t>
        </is>
      </c>
      <c r="H66" s="9" t="inlineStr">
        <is>
          <t>飼養管理をサポートする定住型人材</t>
        </is>
      </c>
      <c r="I66" s="9" t="inlineStr">
        <is>
          <t>農林課</t>
        </is>
      </c>
      <c r="J66" s="9" t="inlineStr">
        <is>
          <t>管理者</t>
        </is>
      </c>
      <c r="K66" s="9" t="inlineStr">
        <is>
          <t>不明</t>
        </is>
      </c>
      <c r="L66" s="9" t="inlineStr">
        <is>
          <t>未確認</t>
        </is>
      </c>
      <c r="Q66" s="9" t="inlineStr">
        <is>
          <t>未開拓</t>
        </is>
      </c>
      <c r="R66" s="9" t="inlineStr">
        <is>
          <t>ターゲット</t>
        </is>
      </c>
      <c r="S66" s="9" t="inlineStr">
        <is>
          <t>リストアップ</t>
        </is>
      </c>
      <c r="AG66" s="9" t="inlineStr">
        <is>
          <t>営業推進部</t>
        </is>
      </c>
      <c r="AH66" s="9" t="inlineStr">
        <is>
          <t>武田 悦郎</t>
        </is>
      </c>
      <c r="AN66" s="9" t="inlineStr">
        <is>
          <t>未定</t>
        </is>
      </c>
      <c r="AQ66">
        <f>COUNTIFS(加電履歴!$F:$F,B66,加電履歴!$E:$E,"畜種農業")</f>
        <v/>
      </c>
      <c r="AR66" s="10">
        <f>IFERROR(IF(COUNTIFS(加電履歴!$F:$F,B66,加電履歴!$E:$E,"畜種農業")=0,"",MAXIFS(加電履歴!$B:$B,加電履歴!$F:$F,B66,加電履歴!$E:$E,"畜種農業")),"")</f>
        <v/>
      </c>
      <c r="AS66">
        <f>IFERROR(IF(COUNTIFS(加電履歴!$F:$F,B66,加電履歴!$E:$E,"畜種農業")=0,"",INDEX(加電履歴!$I:$I,MATCH(1,(加電履歴!$F:$F=B66)*(加電履歴!$E:$E="畜種農業")*(加電履歴!$B:$B=MAXIFS(加電履歴!$B:$B,加電履歴!$F:$F,B66,加電履歴!$E:$E,"畜種農業")),0))),"")</f>
        <v/>
      </c>
    </row>
    <row r="67">
      <c r="A67" s="9" t="inlineStr">
        <is>
          <t>道北</t>
        </is>
      </c>
      <c r="B67" s="18" t="inlineStr">
        <is>
          <t>鷹栖町営牧場</t>
        </is>
      </c>
      <c r="C67" s="14" t="inlineStr"/>
      <c r="D67" s="18" t="inlineStr">
        <is>
          <t>北海道上川郡鷹栖町 ※詳細要確認</t>
        </is>
      </c>
      <c r="E67" s="18" t="inlineStr">
        <is>
          <t>0166-87-2111 (鷹栖町役場代表) ※要確認</t>
        </is>
      </c>
      <c r="F67" s="9" t="inlineStr">
        <is>
          <t>町営の公共牧場</t>
        </is>
      </c>
      <c r="G67" s="9" t="inlineStr">
        <is>
          <t>都市近郊での人材獲得競争</t>
        </is>
      </c>
      <c r="H67" s="9" t="inlineStr">
        <is>
          <t>コストをかけずに即戦力を確保</t>
        </is>
      </c>
      <c r="I67" s="9" t="inlineStr">
        <is>
          <t>農業委員会</t>
        </is>
      </c>
      <c r="J67" s="9" t="inlineStr">
        <is>
          <t>管理者</t>
        </is>
      </c>
      <c r="K67" s="9" t="inlineStr">
        <is>
          <t>不明</t>
        </is>
      </c>
      <c r="L67" s="9" t="inlineStr">
        <is>
          <t>未確認</t>
        </is>
      </c>
      <c r="Q67" s="9" t="inlineStr">
        <is>
          <t>未開拓</t>
        </is>
      </c>
      <c r="R67" s="9" t="inlineStr">
        <is>
          <t>ターゲット</t>
        </is>
      </c>
      <c r="S67" s="9" t="inlineStr">
        <is>
          <t>リストアップ</t>
        </is>
      </c>
      <c r="AG67" s="9" t="inlineStr">
        <is>
          <t>営業推進部</t>
        </is>
      </c>
      <c r="AH67" s="9" t="inlineStr">
        <is>
          <t>武田 悦郎</t>
        </is>
      </c>
      <c r="AN67" s="9" t="inlineStr">
        <is>
          <t>未定</t>
        </is>
      </c>
      <c r="AQ67">
        <f>COUNTIFS(加電履歴!$F:$F,B67,加電履歴!$E:$E,"畜種農業")</f>
        <v/>
      </c>
      <c r="AR67" s="10">
        <f>IFERROR(IF(COUNTIFS(加電履歴!$F:$F,B67,加電履歴!$E:$E,"畜種農業")=0,"",MAXIFS(加電履歴!$B:$B,加電履歴!$F:$F,B67,加電履歴!$E:$E,"畜種農業")),"")</f>
        <v/>
      </c>
      <c r="AS67">
        <f>IFERROR(IF(COUNTIFS(加電履歴!$F:$F,B67,加電履歴!$E:$E,"畜種農業")=0,"",INDEX(加電履歴!$I:$I,MATCH(1,(加電履歴!$F:$F=B67)*(加電履歴!$E:$E="畜種農業")*(加電履歴!$B:$B=MAXIFS(加電履歴!$B:$B,加電履歴!$F:$F,B67,加電履歴!$E:$E,"畜種農業")),0))),"")</f>
        <v/>
      </c>
    </row>
    <row r="68">
      <c r="A68" s="9" t="inlineStr">
        <is>
          <t>道北</t>
        </is>
      </c>
      <c r="B68" s="18" t="inlineStr">
        <is>
          <t>和寒町営牧場</t>
        </is>
      </c>
      <c r="C68" s="14" t="inlineStr"/>
      <c r="D68" s="18" t="inlineStr">
        <is>
          <t>北海道上川郡和寒町 ※詳細要確認</t>
        </is>
      </c>
      <c r="E68" s="18" t="inlineStr">
        <is>
          <t>0165-32-2421 (和寒町役場代表) ※要確認</t>
        </is>
      </c>
      <c r="F68" s="9" t="inlineStr">
        <is>
          <t>町営の公共牧場</t>
        </is>
      </c>
      <c r="G68" s="9" t="inlineStr">
        <is>
          <t>夏季放牧管理の省力化</t>
        </is>
      </c>
      <c r="H68" s="9" t="inlineStr">
        <is>
          <t>安定稼働を即戦力で支援</t>
        </is>
      </c>
      <c r="I68" s="9" t="inlineStr">
        <is>
          <t>産業振興課</t>
        </is>
      </c>
      <c r="J68" s="9" t="inlineStr">
        <is>
          <t>管理者</t>
        </is>
      </c>
      <c r="K68" s="9" t="inlineStr">
        <is>
          <t>不明</t>
        </is>
      </c>
      <c r="L68" s="9" t="inlineStr">
        <is>
          <t>未確認</t>
        </is>
      </c>
      <c r="Q68" s="9" t="inlineStr">
        <is>
          <t>未開拓</t>
        </is>
      </c>
      <c r="R68" s="9" t="inlineStr">
        <is>
          <t>ターゲット</t>
        </is>
      </c>
      <c r="S68" s="9" t="inlineStr">
        <is>
          <t>リストアップ</t>
        </is>
      </c>
      <c r="AG68" s="9" t="inlineStr">
        <is>
          <t>営業推進部</t>
        </is>
      </c>
      <c r="AH68" s="9" t="inlineStr">
        <is>
          <t>武田 悦郎</t>
        </is>
      </c>
      <c r="AN68" s="9" t="inlineStr">
        <is>
          <t>未定</t>
        </is>
      </c>
      <c r="AQ68">
        <f>COUNTIFS(加電履歴!$F:$F,B68,加電履歴!$E:$E,"畜種農業")</f>
        <v/>
      </c>
      <c r="AR68" s="10">
        <f>IFERROR(IF(COUNTIFS(加電履歴!$F:$F,B68,加電履歴!$E:$E,"畜種農業")=0,"",MAXIFS(加電履歴!$B:$B,加電履歴!$F:$F,B68,加電履歴!$E:$E,"畜種農業")),"")</f>
        <v/>
      </c>
      <c r="AS68">
        <f>IFERROR(IF(COUNTIFS(加電履歴!$F:$F,B68,加電履歴!$E:$E,"畜種農業")=0,"",INDEX(加電履歴!$I:$I,MATCH(1,(加電履歴!$F:$F=B68)*(加電履歴!$E:$E="畜種農業")*(加電履歴!$B:$B=MAXIFS(加電履歴!$B:$B,加電履歴!$F:$F,B68,加電履歴!$E:$E,"畜種農業")),0))),"")</f>
        <v/>
      </c>
    </row>
    <row r="69">
      <c r="A69" s="9" t="inlineStr">
        <is>
          <t>道北</t>
        </is>
      </c>
      <c r="B69" s="18" t="inlineStr">
        <is>
          <t>有限会社きしかわ畜産</t>
        </is>
      </c>
      <c r="C69" s="14" t="inlineStr"/>
      <c r="D69" s="18" t="inlineStr">
        <is>
          <t>北海道名寄市字瑞穂37番地1 (〒096-0077)</t>
        </is>
      </c>
      <c r="E69" s="18" t="inlineStr">
        <is>
          <t>01654-3-5210</t>
        </is>
      </c>
      <c r="F69" s="9" t="inlineStr">
        <is>
          <t>素牛農家</t>
        </is>
      </c>
      <c r="G69" s="9" t="inlineStr">
        <is>
          <t>現場作業の効率化</t>
        </is>
      </c>
      <c r="H69" s="9" t="inlineStr">
        <is>
          <t>若手人材の紹介による基盤提供</t>
        </is>
      </c>
      <c r="I69" s="9" t="inlineStr">
        <is>
          <t>経営陣</t>
        </is>
      </c>
      <c r="J69" s="9" t="inlineStr">
        <is>
          <t>代表</t>
        </is>
      </c>
      <c r="K69" s="9" t="inlineStr">
        <is>
          <t>不明</t>
        </is>
      </c>
      <c r="L69" s="9" t="inlineStr">
        <is>
          <t>未確認</t>
        </is>
      </c>
      <c r="Q69" s="9" t="inlineStr">
        <is>
          <t>未開拓</t>
        </is>
      </c>
      <c r="R69" s="9" t="inlineStr">
        <is>
          <t>ターゲット</t>
        </is>
      </c>
      <c r="S69" s="9" t="inlineStr">
        <is>
          <t>リストアップ</t>
        </is>
      </c>
      <c r="AG69" s="9" t="inlineStr">
        <is>
          <t>営業推進部</t>
        </is>
      </c>
      <c r="AH69" s="9" t="inlineStr">
        <is>
          <t>武田 悦郎</t>
        </is>
      </c>
      <c r="AN69" s="9" t="inlineStr">
        <is>
          <t>未定</t>
        </is>
      </c>
      <c r="AQ69">
        <f>COUNTIFS(加電履歴!$F:$F,B69,加電履歴!$E:$E,"畜種農業")</f>
        <v/>
      </c>
      <c r="AR69" s="10">
        <f>IFERROR(IF(COUNTIFS(加電履歴!$F:$F,B69,加電履歴!$E:$E,"畜種農業")=0,"",MAXIFS(加電履歴!$B:$B,加電履歴!$F:$F,B69,加電履歴!$E:$E,"畜種農業")),"")</f>
        <v/>
      </c>
      <c r="AS69">
        <f>IFERROR(IF(COUNTIFS(加電履歴!$F:$F,B69,加電履歴!$E:$E,"畜種農業")=0,"",INDEX(加電履歴!$I:$I,MATCH(1,(加電履歴!$F:$F=B69)*(加電履歴!$E:$E="畜種農業")*(加電履歴!$B:$B=MAXIFS(加電履歴!$B:$B,加電履歴!$F:$F,B69,加電履歴!$E:$E,"畜種農業")),0))),"")</f>
        <v/>
      </c>
    </row>
    <row r="70">
      <c r="A70" s="9" t="inlineStr">
        <is>
          <t>道北</t>
        </is>
      </c>
      <c r="B70" s="18" t="inlineStr">
        <is>
          <t>農事組合法人 大雪牧場</t>
        </is>
      </c>
      <c r="C70" s="12" t="inlineStr">
        <is>
          <t>https://taisetsu-farm325.com/</t>
        </is>
      </c>
      <c r="D70" s="18" t="inlineStr">
        <is>
          <t>北海道上川郡上川町字白川325</t>
        </is>
      </c>
      <c r="E70" s="18" t="inlineStr">
        <is>
          <t>01658-2-3881</t>
        </is>
      </c>
      <c r="F70" s="9" t="inlineStr">
        <is>
          <t>肉牛・乳牛生産</t>
        </is>
      </c>
      <c r="G70" s="9" t="inlineStr">
        <is>
          <t>多頭数飼育における日常業務</t>
        </is>
      </c>
      <c r="H70" s="9" t="inlineStr">
        <is>
          <t>給餌・清掃を担う即戦力人材</t>
        </is>
      </c>
      <c r="I70" s="9" t="inlineStr">
        <is>
          <t>経営陣</t>
        </is>
      </c>
      <c r="J70" s="9" t="inlineStr">
        <is>
          <t>代表</t>
        </is>
      </c>
      <c r="K70" s="9" t="inlineStr">
        <is>
          <t>不明</t>
        </is>
      </c>
      <c r="L70" s="9" t="inlineStr">
        <is>
          <t>未確認</t>
        </is>
      </c>
      <c r="Q70" s="9" t="inlineStr">
        <is>
          <t>未開拓</t>
        </is>
      </c>
      <c r="R70" s="9" t="inlineStr">
        <is>
          <t>ターゲット</t>
        </is>
      </c>
      <c r="S70" s="9" t="inlineStr">
        <is>
          <t>リストアップ</t>
        </is>
      </c>
      <c r="AG70" s="9" t="inlineStr">
        <is>
          <t>営業推進部</t>
        </is>
      </c>
      <c r="AH70" s="9" t="inlineStr">
        <is>
          <t>武田 悦郎</t>
        </is>
      </c>
      <c r="AN70" s="9" t="inlineStr">
        <is>
          <t>未定</t>
        </is>
      </c>
      <c r="AQ70">
        <f>COUNTIFS(加電履歴!$F:$F,B70,加電履歴!$E:$E,"畜種農業")</f>
        <v/>
      </c>
      <c r="AR70" s="10">
        <f>IFERROR(IF(COUNTIFS(加電履歴!$F:$F,B70,加電履歴!$E:$E,"畜種農業")=0,"",MAXIFS(加電履歴!$B:$B,加電履歴!$F:$F,B70,加電履歴!$E:$E,"畜種農業")),"")</f>
        <v/>
      </c>
      <c r="AS70">
        <f>IFERROR(IF(COUNTIFS(加電履歴!$F:$F,B70,加電履歴!$E:$E,"畜種農業")=0,"",INDEX(加電履歴!$I:$I,MATCH(1,(加電履歴!$F:$F=B70)*(加電履歴!$E:$E="畜種農業")*(加電履歴!$B:$B=MAXIFS(加電履歴!$B:$B,加電履歴!$F:$F,B70,加電履歴!$E:$E,"畜種農業")),0))),"")</f>
        <v/>
      </c>
    </row>
    <row r="71">
      <c r="A71" s="15" t="inlineStr">
        <is>
          <t>道東(網走)</t>
        </is>
      </c>
      <c r="B71" s="15" t="inlineStr">
        <is>
          <t>株式会社楠目牧場</t>
        </is>
      </c>
      <c r="C71" s="15" t="inlineStr"/>
      <c r="D71" s="15" t="inlineStr">
        <is>
          <t>北海道網走市字潮見213番地</t>
        </is>
      </c>
      <c r="E71" s="15" t="inlineStr">
        <is>
          <t>※要確認</t>
        </is>
      </c>
      <c r="F71" s="15" t="inlineStr">
        <is>
          <t>網走市の畜産経営/オホーツク海近郊</t>
        </is>
      </c>
      <c r="G71" s="15" t="inlineStr">
        <is>
          <t>労働力確保と日常飼養管理</t>
        </is>
      </c>
      <c r="H71" s="15" t="inlineStr">
        <is>
          <t>採用コストを抑えた即戦力人材の提供</t>
        </is>
      </c>
      <c r="AQ71">
        <f>COUNTIFS(加電履歴!$F:$F,B71,加電履歴!$E:$E,"畜種農業")</f>
        <v/>
      </c>
      <c r="AR71" s="10">
        <f>IFERROR(IF(COUNTIFS(加電履歴!$F:$F,B71,加電履歴!$E:$E,"畜種農業")=0,"",MAXIFS(加電履歴!$B:$B,加電履歴!$F:$F,B71,加電履歴!$E:$E,"畜種農業")),"")</f>
        <v/>
      </c>
      <c r="AS71">
        <f>IFERROR(IF(COUNTIFS(加電履歴!$F:$F,B71,加電履歴!$E:$E,"畜種農業")=0,"",INDEX(加電履歴!$I:$I,MATCH(1,(加電履歴!$F:$F=B71)*(加電履歴!$E:$E="畜種農業")*(加電履歴!$B:$B=MAXIFS(加電履歴!$B:$B,加電履歴!$F:$F,B71,加電履歴!$E:$E,"畜種農業")),0))),"")</f>
        <v/>
      </c>
    </row>
    <row r="72">
      <c r="A72" s="15" t="inlineStr">
        <is>
          <t>道東(網走)</t>
        </is>
      </c>
      <c r="B72" s="15" t="inlineStr">
        <is>
          <t>有限会社網走原生牧場観光センター</t>
        </is>
      </c>
      <c r="C72" s="16" t="inlineStr">
        <is>
          <t>http://www.genseibokujou.co.jp/</t>
        </is>
      </c>
      <c r="D72" s="15" t="inlineStr">
        <is>
          <t>北海道網走市藻琴225番地</t>
        </is>
      </c>
      <c r="E72" s="15" t="inlineStr">
        <is>
          <t>0152-46-2121</t>
        </is>
      </c>
      <c r="F72" s="15" t="inlineStr">
        <is>
          <t>観光牧場/乗馬体験/ホーストレッキング</t>
        </is>
      </c>
      <c r="G72" s="15" t="inlineStr">
        <is>
          <t>観光対応と飼養管理の両立</t>
        </is>
      </c>
      <c r="H72" s="15" t="inlineStr">
        <is>
          <t>バックヤード飼育を即戦力に任せ、接客・観光サービスに注力できる体制構築</t>
        </is>
      </c>
      <c r="AQ72">
        <f>COUNTIFS(加電履歴!$F:$F,B72,加電履歴!$E:$E,"畜種農業")</f>
        <v/>
      </c>
      <c r="AR72" s="10">
        <f>IFERROR(IF(COUNTIFS(加電履歴!$F:$F,B72,加電履歴!$E:$E,"畜種農業")=0,"",MAXIFS(加電履歴!$B:$B,加電履歴!$F:$F,B72,加電履歴!$E:$E,"畜種農業")),"")</f>
        <v/>
      </c>
      <c r="AS72">
        <f>IFERROR(IF(COUNTIFS(加電履歴!$F:$F,B72,加電履歴!$E:$E,"畜種農業")=0,"",INDEX(加電履歴!$I:$I,MATCH(1,(加電履歴!$F:$F=B72)*(加電履歴!$E:$E="畜種農業")*(加電履歴!$B:$B=MAXIFS(加電履歴!$B:$B,加電履歴!$F:$F,B72,加電履歴!$E:$E,"畜種農業")),0))),"")</f>
        <v/>
      </c>
    </row>
    <row r="73">
      <c r="A73" s="15" t="inlineStr">
        <is>
          <t>道東(北見)</t>
        </is>
      </c>
      <c r="B73" s="15" t="inlineStr">
        <is>
          <t>株式会社協同畜産経営センター</t>
        </is>
      </c>
      <c r="C73" s="16" t="inlineStr">
        <is>
          <t>https://www.hokkaido-pork.jp/farm/feedone/farm_kyodo/</t>
        </is>
      </c>
      <c r="D73" s="15" t="inlineStr">
        <is>
          <t>北海道北見市大正763番地</t>
        </is>
      </c>
      <c r="E73" s="15" t="inlineStr">
        <is>
          <t>0157-36-6006</t>
        </is>
      </c>
      <c r="F73" s="15" t="inlineStr">
        <is>
          <t>オニオンポーク生産/繁殖550頭一貫生産</t>
        </is>
      </c>
      <c r="G73" s="15" t="inlineStr">
        <is>
          <t>大規模養豚における安定的な人員配置</t>
        </is>
      </c>
      <c r="H73" s="15" t="inlineStr">
        <is>
          <t>養豚現場で即戦力となる特定技能人材の配置でブランド維持を支援</t>
        </is>
      </c>
      <c r="AQ73">
        <f>COUNTIFS(加電履歴!$F:$F,B73,加電履歴!$E:$E,"畜種農業")</f>
        <v/>
      </c>
      <c r="AR73" s="10">
        <f>IFERROR(IF(COUNTIFS(加電履歴!$F:$F,B73,加電履歴!$E:$E,"畜種農業")=0,"",MAXIFS(加電履歴!$B:$B,加電履歴!$F:$F,B73,加電履歴!$E:$E,"畜種農業")),"")</f>
        <v/>
      </c>
      <c r="AS73">
        <f>IFERROR(IF(COUNTIFS(加電履歴!$F:$F,B73,加電履歴!$E:$E,"畜種農業")=0,"",INDEX(加電履歴!$I:$I,MATCH(1,(加電履歴!$F:$F=B73)*(加電履歴!$E:$E="畜種農業")*(加電履歴!$B:$B=MAXIFS(加電履歴!$B:$B,加電履歴!$F:$F,B73,加電履歴!$E:$E,"畜種農業")),0))),"")</f>
        <v/>
      </c>
    </row>
    <row r="74">
      <c r="A74" s="15" t="inlineStr">
        <is>
          <t>道東(北見)</t>
        </is>
      </c>
      <c r="B74" s="15" t="inlineStr">
        <is>
          <t>株式会社北きつね牧場</t>
        </is>
      </c>
      <c r="C74" s="16" t="inlineStr">
        <is>
          <t>https://kitakitsune-farm.com/</t>
        </is>
      </c>
      <c r="D74" s="15" t="inlineStr">
        <is>
          <t>北海道北見市留辺蘂町花丘52-1</t>
        </is>
      </c>
      <c r="E74" s="15" t="inlineStr">
        <is>
          <t>0157-45-2249</t>
        </is>
      </c>
      <c r="F74" s="15" t="inlineStr">
        <is>
          <t>観光牧場/キタキツネ・エゾタヌキ飼育</t>
        </is>
      </c>
      <c r="G74" s="15" t="inlineStr">
        <is>
          <t>観光来場者対応と動物飼育の兼務</t>
        </is>
      </c>
      <c r="H74" s="15" t="inlineStr">
        <is>
          <t>飼育管理を即戦力が担い、接客・施設運営に注力できる体制構築</t>
        </is>
      </c>
      <c r="AQ74">
        <f>COUNTIFS(加電履歴!$F:$F,B74,加電履歴!$E:$E,"畜種農業")</f>
        <v/>
      </c>
      <c r="AR74" s="10">
        <f>IFERROR(IF(COUNTIFS(加電履歴!$F:$F,B74,加電履歴!$E:$E,"畜種農業")=0,"",MAXIFS(加電履歴!$B:$B,加電履歴!$F:$F,B74,加電履歴!$E:$E,"畜種農業")),"")</f>
        <v/>
      </c>
      <c r="AS74">
        <f>IFERROR(IF(COUNTIFS(加電履歴!$F:$F,B74,加電履歴!$E:$E,"畜種農業")=0,"",INDEX(加電履歴!$I:$I,MATCH(1,(加電履歴!$F:$F=B74)*(加電履歴!$E:$E="畜種農業")*(加電履歴!$B:$B=MAXIFS(加電履歴!$B:$B,加電履歴!$F:$F,B74,加電履歴!$E:$E,"畜種農業")),0))),"")</f>
        <v/>
      </c>
    </row>
    <row r="75">
      <c r="A75" s="15" t="inlineStr">
        <is>
          <t>道東(美幌)</t>
        </is>
      </c>
      <c r="B75" s="15" t="inlineStr">
        <is>
          <t>株式会社美幌牛肥育センター</t>
        </is>
      </c>
      <c r="C75" s="16" t="inlineStr">
        <is>
          <t>http://www.bihoro-gyu.com/</t>
        </is>
      </c>
      <c r="D75" s="15" t="inlineStr">
        <is>
          <t>北海道網走郡美幌町字都橋211番地</t>
        </is>
      </c>
      <c r="E75" s="15" t="inlineStr">
        <is>
          <t>0152-72-3373</t>
        </is>
      </c>
      <c r="F75" s="15" t="inlineStr">
        <is>
          <t>ブランド牛「びほろ牛」肥育/肉牛飼育・販売・堆肥販売</t>
        </is>
      </c>
      <c r="G75" s="15" t="inlineStr">
        <is>
          <t>ブランド維持のための丁寧な肥育管理と人員確保</t>
        </is>
      </c>
      <c r="H75" s="15" t="inlineStr">
        <is>
          <t>肥育ルーティンを即戦力で支援しブランド維持に貢献</t>
        </is>
      </c>
      <c r="AQ75">
        <f>COUNTIFS(加電履歴!$F:$F,B75,加電履歴!$E:$E,"畜種農業")</f>
        <v/>
      </c>
      <c r="AR75" s="10">
        <f>IFERROR(IF(COUNTIFS(加電履歴!$F:$F,B75,加電履歴!$E:$E,"畜種農業")=0,"",MAXIFS(加電履歴!$B:$B,加電履歴!$F:$F,B75,加電履歴!$E:$E,"畜種農業")),"")</f>
        <v/>
      </c>
      <c r="AS75">
        <f>IFERROR(IF(COUNTIFS(加電履歴!$F:$F,B75,加電履歴!$E:$E,"畜種農業")=0,"",INDEX(加電履歴!$I:$I,MATCH(1,(加電履歴!$F:$F=B75)*(加電履歴!$E:$E="畜種農業")*(加電履歴!$B:$B=MAXIFS(加電履歴!$B:$B,加電履歴!$F:$F,B75,加電履歴!$E:$E,"畜種農業")),0))),"")</f>
        <v/>
      </c>
    </row>
    <row r="76">
      <c r="A76" s="15" t="inlineStr">
        <is>
          <t>道東(美幌)</t>
        </is>
      </c>
      <c r="B76" s="15" t="inlineStr">
        <is>
          <t>株式会社美幌ファーム</t>
        </is>
      </c>
      <c r="C76" s="15" t="inlineStr">
        <is>
          <t>※要確認</t>
        </is>
      </c>
      <c r="D76" s="15" t="inlineStr">
        <is>
          <t>北海道網走郡美幌町 ※詳細要確認</t>
        </is>
      </c>
      <c r="E76" s="15" t="inlineStr">
        <is>
          <t>※要確認</t>
        </is>
      </c>
      <c r="F76" s="15" t="inlineStr">
        <is>
          <t>びほろ牛の素牛育成(6-12カ月齢)/美幌牛肥育センター系列</t>
        </is>
      </c>
      <c r="G76" s="15" t="inlineStr">
        <is>
          <t>グループ会社との連携と素牛育成の労働力確保</t>
        </is>
      </c>
      <c r="H76" s="15" t="inlineStr">
        <is>
          <t>系列会社と一体での人材紹介、安定した育成オペレーション支援</t>
        </is>
      </c>
      <c r="AQ76">
        <f>COUNTIFS(加電履歴!$F:$F,B76,加電履歴!$E:$E,"畜種農業")</f>
        <v/>
      </c>
      <c r="AR76" s="10">
        <f>IFERROR(IF(COUNTIFS(加電履歴!$F:$F,B76,加電履歴!$E:$E,"畜種農業")=0,"",MAXIFS(加電履歴!$B:$B,加電履歴!$F:$F,B76,加電履歴!$E:$E,"畜種農業")),"")</f>
        <v/>
      </c>
      <c r="AS76">
        <f>IFERROR(IF(COUNTIFS(加電履歴!$F:$F,B76,加電履歴!$E:$E,"畜種農業")=0,"",INDEX(加電履歴!$I:$I,MATCH(1,(加電履歴!$F:$F=B76)*(加電履歴!$E:$E="畜種農業")*(加電履歴!$B:$B=MAXIFS(加電履歴!$B:$B,加電履歴!$F:$F,B76,加電履歴!$E:$E,"畜種農業")),0))),"")</f>
        <v/>
      </c>
    </row>
    <row r="77">
      <c r="A77" s="15" t="inlineStr">
        <is>
          <t>道東(斜里)</t>
        </is>
      </c>
      <c r="B77" s="15" t="inlineStr">
        <is>
          <t>有限会社佐々木種畜牧場</t>
        </is>
      </c>
      <c r="C77" s="16" t="inlineStr">
        <is>
          <t>https://sasaki-web.net/</t>
        </is>
      </c>
      <c r="D77" s="15" t="inlineStr">
        <is>
          <t>北海道斜里郡斜里町字美咲69</t>
        </is>
      </c>
      <c r="E77" s="15" t="inlineStr">
        <is>
          <t>0152-23-0429</t>
        </is>
      </c>
      <c r="F77" s="15" t="inlineStr">
        <is>
          <t>サチク麦王ブランド豚/麦主体飼料/直売店併設</t>
        </is>
      </c>
      <c r="G77" s="15" t="inlineStr">
        <is>
          <t>養豚と直売店の両立</t>
        </is>
      </c>
      <c r="H77" s="15" t="inlineStr">
        <is>
          <t>養豚現場の即戦力配置で代表が販売・加工に注力できる体制構築</t>
        </is>
      </c>
      <c r="AQ77">
        <f>COUNTIFS(加電履歴!$F:$F,B77,加電履歴!$E:$E,"畜種農業")</f>
        <v/>
      </c>
      <c r="AR77" s="10">
        <f>IFERROR(IF(COUNTIFS(加電履歴!$F:$F,B77,加電履歴!$E:$E,"畜種農業")=0,"",MAXIFS(加電履歴!$B:$B,加電履歴!$F:$F,B77,加電履歴!$E:$E,"畜種農業")),"")</f>
        <v/>
      </c>
      <c r="AS77">
        <f>IFERROR(IF(COUNTIFS(加電履歴!$F:$F,B77,加電履歴!$E:$E,"畜種農業")=0,"",INDEX(加電履歴!$I:$I,MATCH(1,(加電履歴!$F:$F=B77)*(加電履歴!$E:$E="畜種農業")*(加電履歴!$B:$B=MAXIFS(加電履歴!$B:$B,加電履歴!$F:$F,B77,加電履歴!$E:$E,"畜種農業")),0))),"")</f>
        <v/>
      </c>
    </row>
    <row r="78">
      <c r="A78" s="15" t="inlineStr">
        <is>
          <t>道東(網走)</t>
        </is>
      </c>
      <c r="B78" s="15" t="inlineStr">
        <is>
          <t>株式会社オホーツクファーム33</t>
        </is>
      </c>
      <c r="C78" s="15" t="inlineStr"/>
      <c r="D78" s="15" t="inlineStr">
        <is>
          <t>北海道網走市字北浜273番地の4</t>
        </is>
      </c>
      <c r="E78" s="15" t="inlineStr">
        <is>
          <t>※要確認</t>
        </is>
      </c>
      <c r="F78" s="15" t="inlineStr">
        <is>
          <t>網走市での牧場経営</t>
        </is>
      </c>
      <c r="G78" s="15" t="inlineStr">
        <is>
          <t>日常飼養管理の労働力確保</t>
        </is>
      </c>
      <c r="H78" s="15" t="inlineStr">
        <is>
          <t>採用コストを抑えた即戦力人材の提供</t>
        </is>
      </c>
      <c r="AQ78">
        <f>COUNTIFS(加電履歴!$F:$F,B78,加電履歴!$E:$E,"畜種農業")</f>
        <v/>
      </c>
      <c r="AR78" s="10">
        <f>IFERROR(IF(COUNTIFS(加電履歴!$F:$F,B78,加電履歴!$E:$E,"畜種農業")=0,"",MAXIFS(加電履歴!$B:$B,加電履歴!$F:$F,B78,加電履歴!$E:$E,"畜種農業")),"")</f>
        <v/>
      </c>
      <c r="AS78">
        <f>IFERROR(IF(COUNTIFS(加電履歴!$F:$F,B78,加電履歴!$E:$E,"畜種農業")=0,"",INDEX(加電履歴!$I:$I,MATCH(1,(加電履歴!$F:$F=B78)*(加電履歴!$E:$E="畜種農業")*(加電履歴!$B:$B=MAXIFS(加電履歴!$B:$B,加電履歴!$F:$F,B78,加電履歴!$E:$E,"畜種農業")),0))),"")</f>
        <v/>
      </c>
    </row>
    <row r="79">
      <c r="A79" s="15" t="inlineStr">
        <is>
          <t>道東(網走)</t>
        </is>
      </c>
      <c r="B79" s="15" t="inlineStr">
        <is>
          <t>有限会社網走ふる里牧場</t>
        </is>
      </c>
      <c r="C79" s="15" t="inlineStr"/>
      <c r="D79" s="15" t="inlineStr">
        <is>
          <t>北海道網走市字稲富83</t>
        </is>
      </c>
      <c r="E79" s="14" t="inlineStr">
        <is>
          <t>0152-46-2402</t>
        </is>
      </c>
      <c r="F79" s="15" t="inlineStr">
        <is>
          <t>網走市の畜産業</t>
        </is>
      </c>
      <c r="G79" s="15" t="inlineStr">
        <is>
          <t>通常飼養管理の担い手不足</t>
        </is>
      </c>
      <c r="H79" s="15" t="inlineStr">
        <is>
          <t>即戦力配置による飼養管理の安定化</t>
        </is>
      </c>
      <c r="AQ79">
        <f>COUNTIFS(加電履歴!$F:$F,B79,加電履歴!$E:$E,"畜種農業")</f>
        <v/>
      </c>
      <c r="AR79" s="10">
        <f>IFERROR(IF(COUNTIFS(加電履歴!$F:$F,B79,加電履歴!$E:$E,"畜種農業")=0,"",MAXIFS(加電履歴!$B:$B,加電履歴!$F:$F,B79,加電履歴!$E:$E,"畜種農業")),"")</f>
        <v/>
      </c>
      <c r="AS79">
        <f>IFERROR(IF(COUNTIFS(加電履歴!$F:$F,B79,加電履歴!$E:$E,"畜種農業")=0,"",INDEX(加電履歴!$I:$I,MATCH(1,(加電履歴!$F:$F=B79)*(加電履歴!$E:$E="畜種農業")*(加電履歴!$B:$B=MAXIFS(加電履歴!$B:$B,加電履歴!$F:$F,B79,加電履歴!$E:$E,"畜種農業")),0))),"")</f>
        <v/>
      </c>
    </row>
    <row r="80">
      <c r="A80" s="15" t="inlineStr">
        <is>
          <t>道東(大空)</t>
        </is>
      </c>
      <c r="B80" s="15" t="inlineStr">
        <is>
          <t>株式会社北海道畜産公社 道東事業所 北見工場</t>
        </is>
      </c>
      <c r="C80" s="16" t="inlineStr">
        <is>
          <t>https://tikusan.securesite.jp/</t>
        </is>
      </c>
      <c r="D80" s="15" t="inlineStr">
        <is>
          <t>北海道網走郡大空町東藻琴西倉280-3 (〒099-3202)</t>
        </is>
      </c>
      <c r="E80" s="15" t="inlineStr">
        <is>
          <t>※要確認</t>
        </is>
      </c>
      <c r="F80" s="15" t="inlineStr">
        <is>
          <t>オホーツク地区主要食肉処理工場/牛・豚加工/海外輸出認定</t>
        </is>
      </c>
      <c r="G80" s="15" t="inlineStr">
        <is>
          <t>大規模食肉処理ラインにおける慢性的人員不足</t>
        </is>
      </c>
      <c r="H80" s="15" t="inlineStr">
        <is>
          <t>食肉加工現場で即戦力となる特定技能人材を通年で提供</t>
        </is>
      </c>
      <c r="AQ80">
        <f>COUNTIFS(加電履歴!$F:$F,B80,加電履歴!$E:$E,"畜種農業")</f>
        <v/>
      </c>
      <c r="AR80" s="10">
        <f>IFERROR(IF(COUNTIFS(加電履歴!$F:$F,B80,加電履歴!$E:$E,"畜種農業")=0,"",MAXIFS(加電履歴!$B:$B,加電履歴!$F:$F,B80,加電履歴!$E:$E,"畜種農業")),"")</f>
        <v/>
      </c>
      <c r="AS80">
        <f>IFERROR(IF(COUNTIFS(加電履歴!$F:$F,B80,加電履歴!$E:$E,"畜種農業")=0,"",INDEX(加電履歴!$I:$I,MATCH(1,(加電履歴!$F:$F=B80)*(加電履歴!$E:$E="畜種農業")*(加電履歴!$B:$B=MAXIFS(加電履歴!$B:$B,加電履歴!$F:$F,B80,加電履歴!$E:$E,"畜種農業")),0))),"")</f>
        <v/>
      </c>
    </row>
    <row r="81">
      <c r="A81" s="15" t="inlineStr">
        <is>
          <t>道東(大空)</t>
        </is>
      </c>
      <c r="B81" s="15" t="inlineStr">
        <is>
          <t>有限会社山口ファーム</t>
        </is>
      </c>
      <c r="C81" s="16" t="inlineStr">
        <is>
          <t>https://www.yamaguchifarm.com/</t>
        </is>
      </c>
      <c r="D81" s="15" t="inlineStr">
        <is>
          <t>北海道網走郡大空町東藻琴末広92番地 (〒099-3232)</t>
        </is>
      </c>
      <c r="E81" s="15" t="inlineStr">
        <is>
          <t>0152-66-3434</t>
        </is>
      </c>
      <c r="F81" s="15" t="inlineStr">
        <is>
          <t>大空町東藻琴の農場経営</t>
        </is>
      </c>
      <c r="G81" s="15" t="inlineStr">
        <is>
          <t>農繁期の労働力確保</t>
        </is>
      </c>
      <c r="H81" s="15" t="inlineStr">
        <is>
          <t>即戦力人材による農作業の安定化</t>
        </is>
      </c>
      <c r="AQ81">
        <f>COUNTIFS(加電履歴!$F:$F,B81,加電履歴!$E:$E,"畜種農業")</f>
        <v/>
      </c>
      <c r="AR81" s="10">
        <f>IFERROR(IF(COUNTIFS(加電履歴!$F:$F,B81,加電履歴!$E:$E,"畜種農業")=0,"",MAXIFS(加電履歴!$B:$B,加電履歴!$F:$F,B81,加電履歴!$E:$E,"畜種農業")),"")</f>
        <v/>
      </c>
      <c r="AS81">
        <f>IFERROR(IF(COUNTIFS(加電履歴!$F:$F,B81,加電履歴!$E:$E,"畜種農業")=0,"",INDEX(加電履歴!$I:$I,MATCH(1,(加電履歴!$F:$F=B81)*(加電履歴!$E:$E="畜種農業")*(加電履歴!$B:$B=MAXIFS(加電履歴!$B:$B,加電履歴!$F:$F,B81,加電履歴!$E:$E,"畜種農業")),0))),"")</f>
        <v/>
      </c>
    </row>
    <row r="82">
      <c r="A82" s="15" t="inlineStr">
        <is>
          <t>道東(大空)</t>
        </is>
      </c>
      <c r="B82" s="15" t="inlineStr">
        <is>
          <t>有限会社西牧場</t>
        </is>
      </c>
      <c r="C82" s="16" t="inlineStr">
        <is>
          <t>https://www.nishi-farm.com/</t>
        </is>
      </c>
      <c r="D82" s="15" t="inlineStr">
        <is>
          <t>北海道網走郡大空町東藻琴西倉347 (〒099-3202)</t>
        </is>
      </c>
      <c r="E82" s="15" t="inlineStr">
        <is>
          <t>0152-66-2260</t>
        </is>
      </c>
      <c r="F82" s="15" t="inlineStr">
        <is>
          <t>酪農・和牛素牛生産/乳牛235頭+黒毛和牛110頭</t>
        </is>
      </c>
      <c r="G82" s="15" t="inlineStr">
        <is>
          <t>酪農と和牛繁殖の両立による多忙</t>
        </is>
      </c>
      <c r="H82" s="15" t="inlineStr">
        <is>
          <t>飼養ルーティンを即戦力に任せ、繁殖管理に注力できる体制構築</t>
        </is>
      </c>
      <c r="AQ82">
        <f>COUNTIFS(加電履歴!$F:$F,B82,加電履歴!$E:$E,"畜種農業")</f>
        <v/>
      </c>
      <c r="AR82" s="10">
        <f>IFERROR(IF(COUNTIFS(加電履歴!$F:$F,B82,加電履歴!$E:$E,"畜種農業")=0,"",MAXIFS(加電履歴!$B:$B,加電履歴!$F:$F,B82,加電履歴!$E:$E,"畜種農業")),"")</f>
        <v/>
      </c>
      <c r="AS82">
        <f>IFERROR(IF(COUNTIFS(加電履歴!$F:$F,B82,加電履歴!$E:$E,"畜種農業")=0,"",INDEX(加電履歴!$I:$I,MATCH(1,(加電履歴!$F:$F=B82)*(加電履歴!$E:$E="畜種農業")*(加電履歴!$B:$B=MAXIFS(加電履歴!$B:$B,加電履歴!$F:$F,B82,加電履歴!$E:$E,"畜種農業")),0))),"")</f>
        <v/>
      </c>
    </row>
    <row r="83">
      <c r="A83" s="15" t="inlineStr">
        <is>
          <t>道東(津別)</t>
        </is>
      </c>
      <c r="B83" s="15" t="inlineStr">
        <is>
          <t>株式会社津別ファーム</t>
        </is>
      </c>
      <c r="C83" s="16" t="inlineStr">
        <is>
          <t>https://tsubetsufarm.com/</t>
        </is>
      </c>
      <c r="D83" s="15" t="inlineStr">
        <is>
          <t>北海道網走郡津別町字栄58番地2 (〒092-0356)</t>
        </is>
      </c>
      <c r="E83" s="15" t="inlineStr">
        <is>
          <t>0152-76-1420</t>
        </is>
      </c>
      <c r="F83" s="15" t="inlineStr">
        <is>
          <t>黒毛和牛素牛生産/飼養3500頭(繁殖1711/育成1220/肥育568)</t>
        </is>
      </c>
      <c r="G83" s="15" t="inlineStr">
        <is>
          <t>大規模和牛繁殖における人員確保と血統管理</t>
        </is>
      </c>
      <c r="H83" s="15" t="inlineStr">
        <is>
          <t>繁殖・育成・肥育の各段階に即戦力を配置し品質を維持</t>
        </is>
      </c>
      <c r="AQ83">
        <f>COUNTIFS(加電履歴!$F:$F,B83,加電履歴!$E:$E,"畜種農業")</f>
        <v/>
      </c>
      <c r="AR83" s="10">
        <f>IFERROR(IF(COUNTIFS(加電履歴!$F:$F,B83,加電履歴!$E:$E,"畜種農業")=0,"",MAXIFS(加電履歴!$B:$B,加電履歴!$F:$F,B83,加電履歴!$E:$E,"畜種農業")),"")</f>
        <v/>
      </c>
      <c r="AS83">
        <f>IFERROR(IF(COUNTIFS(加電履歴!$F:$F,B83,加電履歴!$E:$E,"畜種農業")=0,"",INDEX(加電履歴!$I:$I,MATCH(1,(加電履歴!$F:$F=B83)*(加電履歴!$E:$E="畜種農業")*(加電履歴!$B:$B=MAXIFS(加電履歴!$B:$B,加電履歴!$F:$F,B83,加電履歴!$E:$E,"畜種農業")),0))),"")</f>
        <v/>
      </c>
    </row>
    <row r="84">
      <c r="A84" s="15" t="inlineStr">
        <is>
          <t>道東(網走)</t>
        </is>
      </c>
      <c r="B84" s="15" t="inlineStr">
        <is>
          <t>エミュー牧場 (オホーツクエミューらんど)</t>
        </is>
      </c>
      <c r="C84" s="16" t="inlineStr">
        <is>
          <t>https://zoo.hokkaido.jp/okhotsctemu/</t>
        </is>
      </c>
      <c r="D84" s="15" t="inlineStr">
        <is>
          <t>北海道網走市字稲富462 (〒099-3115)</t>
        </is>
      </c>
      <c r="E84" s="15" t="inlineStr">
        <is>
          <t>0152-46-2644</t>
        </is>
      </c>
      <c r="F84" s="15" t="inlineStr">
        <is>
          <t>日本最大級のエミュー牧場/観光・東京農大エミュー研究会付属</t>
        </is>
      </c>
      <c r="G84" s="15" t="inlineStr">
        <is>
          <t>観光対応とエミュー飼育の両立</t>
        </is>
      </c>
      <c r="H84" s="15" t="inlineStr">
        <is>
          <t>飼育・施設管理を即戦力に任せ、観光体験の質向上</t>
        </is>
      </c>
      <c r="AQ84">
        <f>COUNTIFS(加電履歴!$F:$F,B84,加電履歴!$E:$E,"畜種農業")</f>
        <v/>
      </c>
      <c r="AR84" s="10">
        <f>IFERROR(IF(COUNTIFS(加電履歴!$F:$F,B84,加電履歴!$E:$E,"畜種農業")=0,"",MAXIFS(加電履歴!$B:$B,加電履歴!$F:$F,B84,加電履歴!$E:$E,"畜種農業")),"")</f>
        <v/>
      </c>
      <c r="AS84">
        <f>IFERROR(IF(COUNTIFS(加電履歴!$F:$F,B84,加電履歴!$E:$E,"畜種農業")=0,"",INDEX(加電履歴!$I:$I,MATCH(1,(加電履歴!$F:$F=B84)*(加電履歴!$E:$E="畜種農業")*(加電履歴!$B:$B=MAXIFS(加電履歴!$B:$B,加電履歴!$F:$F,B84,加電履歴!$E:$E,"畜種農業")),0))),"")</f>
        <v/>
      </c>
    </row>
    <row r="85">
      <c r="A85" s="15" t="inlineStr">
        <is>
          <t>道東(大空)</t>
        </is>
      </c>
      <c r="B85" s="15" t="inlineStr">
        <is>
          <t>太田ファーム (大空町)</t>
        </is>
      </c>
      <c r="C85" s="15" t="inlineStr"/>
      <c r="D85" s="15" t="inlineStr">
        <is>
          <t>北海道網走郡大空町東藻琴西倉179-2 (〒099-3202)</t>
        </is>
      </c>
      <c r="E85" s="15" t="inlineStr">
        <is>
          <t>0152-66-2025</t>
        </is>
      </c>
      <c r="F85" s="15" t="inlineStr">
        <is>
          <t>養豚経営</t>
        </is>
      </c>
      <c r="G85" s="15" t="inlineStr">
        <is>
          <t>養豚現場の安定的な人員確保</t>
        </is>
      </c>
      <c r="H85" s="15" t="inlineStr">
        <is>
          <t>養豚現場で即戦力となる特定技能人材の配置</t>
        </is>
      </c>
      <c r="AQ85">
        <f>COUNTIFS(加電履歴!$F:$F,B85,加電履歴!$E:$E,"畜種農業")</f>
        <v/>
      </c>
      <c r="AR85" s="10">
        <f>IFERROR(IF(COUNTIFS(加電履歴!$F:$F,B85,加電履歴!$E:$E,"畜種農業")=0,"",MAXIFS(加電履歴!$B:$B,加電履歴!$F:$F,B85,加電履歴!$E:$E,"畜種農業")),"")</f>
        <v/>
      </c>
      <c r="AS85">
        <f>IFERROR(IF(COUNTIFS(加電履歴!$F:$F,B85,加電履歴!$E:$E,"畜種農業")=0,"",INDEX(加電履歴!$I:$I,MATCH(1,(加電履歴!$F:$F=B85)*(加電履歴!$E:$E="畜種農業")*(加電履歴!$B:$B=MAXIFS(加電履歴!$B:$B,加電履歴!$F:$F,B85,加電履歴!$E:$E,"畜種農業")),0))),"")</f>
        <v/>
      </c>
    </row>
    <row r="86">
      <c r="A86" s="15" t="inlineStr">
        <is>
          <t>道東(大空)</t>
        </is>
      </c>
      <c r="B86" s="15" t="inlineStr">
        <is>
          <t>有限会社長尾産業</t>
        </is>
      </c>
      <c r="C86" s="16" t="inlineStr">
        <is>
          <t>https://nagao-sangyo.com/</t>
        </is>
      </c>
      <c r="D86" s="15" t="inlineStr">
        <is>
          <t>北海道網走郡大空町東藻琴山園166</t>
        </is>
      </c>
      <c r="E86" s="15" t="inlineStr">
        <is>
          <t>※要確認</t>
        </is>
      </c>
      <c r="F86" s="15" t="inlineStr">
        <is>
          <t>大規模酪農・アイス販売（東藻琴）</t>
        </is>
      </c>
      <c r="G86" s="15" t="inlineStr">
        <is>
          <t>大規模酪農オペレーションの担い手確保</t>
        </is>
      </c>
      <c r="H86" s="15" t="inlineStr">
        <is>
          <t>即戦力配置で搾乳・飼養管理を安定化、6次産業に注力できる体制構築</t>
        </is>
      </c>
      <c r="AQ86">
        <f>COUNTIFS(加電履歴!$F:$F,B86,加電履歴!$E:$E,"畜種農業")</f>
        <v/>
      </c>
      <c r="AR86" s="10">
        <f>IFERROR(IF(COUNTIFS(加電履歴!$F:$F,B86,加電履歴!$E:$E,"畜種農業")=0,"",MAXIFS(加電履歴!$B:$B,加電履歴!$F:$F,B86,加電履歴!$E:$E,"畜種農業")),"")</f>
        <v/>
      </c>
      <c r="AS86">
        <f>IFERROR(IF(COUNTIFS(加電履歴!$F:$F,B86,加電履歴!$E:$E,"畜種農業")=0,"",INDEX(加電履歴!$I:$I,MATCH(1,(加電履歴!$F:$F=B86)*(加電履歴!$E:$E="畜種農業")*(加電履歴!$B:$B=MAXIFS(加電履歴!$B:$B,加電履歴!$F:$F,B86,加電履歴!$E:$E,"畜種農業")),0))),"")</f>
        <v/>
      </c>
    </row>
    <row r="87">
      <c r="A87" s="15" t="inlineStr">
        <is>
          <t>道東(小清水)</t>
        </is>
      </c>
      <c r="B87" s="15" t="inlineStr">
        <is>
          <t>株式会社小清水農業振興公社 (アグリハートセンター)</t>
        </is>
      </c>
      <c r="C87" s="16" t="inlineStr">
        <is>
          <t>http://agriheart.jp/</t>
        </is>
      </c>
      <c r="D87" s="15" t="inlineStr">
        <is>
          <t>北海道斜里郡小清水町南町1丁目29番18号 (〒099-3642)</t>
        </is>
      </c>
      <c r="E87" s="15" t="inlineStr">
        <is>
          <t>0152-67-5716</t>
        </is>
      </c>
      <c r="F87" s="15" t="inlineStr">
        <is>
          <t>小清水町・JAこしみず等4団体出資の公社/農作業支援事業</t>
        </is>
      </c>
      <c r="G87" s="15" t="inlineStr">
        <is>
          <t>町内農家への労働力供給のニーズ</t>
        </is>
      </c>
      <c r="H87" s="15" t="inlineStr">
        <is>
          <t>公社窓口を通じた管内農家への一括人材紹介スキーム</t>
        </is>
      </c>
      <c r="AQ87">
        <f>COUNTIFS(加電履歴!$F:$F,B87,加電履歴!$E:$E,"畜種農業")</f>
        <v/>
      </c>
      <c r="AR87" s="10">
        <f>IFERROR(IF(COUNTIFS(加電履歴!$F:$F,B87,加電履歴!$E:$E,"畜種農業")=0,"",MAXIFS(加電履歴!$B:$B,加電履歴!$F:$F,B87,加電履歴!$E:$E,"畜種農業")),"")</f>
        <v/>
      </c>
      <c r="AS87">
        <f>IFERROR(IF(COUNTIFS(加電履歴!$F:$F,B87,加電履歴!$E:$E,"畜種農業")=0,"",INDEX(加電履歴!$I:$I,MATCH(1,(加電履歴!$F:$F=B87)*(加電履歴!$E:$E="畜種農業")*(加電履歴!$B:$B=MAXIFS(加電履歴!$B:$B,加電履歴!$F:$F,B87,加電履歴!$E:$E,"畜種農業")),0))),"")</f>
        <v/>
      </c>
    </row>
    <row r="88">
      <c r="C88" t="inlineStr">
        <is>
          <t>https://www.hokkaido-pork.jp/farm/feedone/farm_kyodo/</t>
        </is>
      </c>
    </row>
    <row r="89">
      <c r="C89" t="inlineStr">
        <is>
          <t>https://kitakitsune-farm.com/</t>
        </is>
      </c>
    </row>
    <row r="90">
      <c r="C90" t="inlineStr">
        <is>
          <t>http://www.bihoro-gyu.com/</t>
        </is>
      </c>
    </row>
    <row r="92">
      <c r="C92" t="inlineStr">
        <is>
          <t>https://sasaki-web.net/</t>
        </is>
      </c>
    </row>
    <row r="95">
      <c r="C95" t="inlineStr">
        <is>
          <t>https://tikusan.securesite.jp/</t>
        </is>
      </c>
    </row>
    <row r="96">
      <c r="C96" t="inlineStr">
        <is>
          <t>https://www.yamaguchifarm.com/</t>
        </is>
      </c>
    </row>
    <row r="97">
      <c r="C97" t="inlineStr">
        <is>
          <t>https://www.nishi-farm.com/</t>
        </is>
      </c>
    </row>
    <row r="98">
      <c r="C98" t="inlineStr">
        <is>
          <t>https://tsubetsufarm.com/</t>
        </is>
      </c>
    </row>
    <row r="99">
      <c r="C99" t="inlineStr">
        <is>
          <t>https://zoo.hokkaido.jp/okhotsctemu/</t>
        </is>
      </c>
    </row>
    <row r="101">
      <c r="C101" t="inlineStr">
        <is>
          <t>https://nagao-sangyo.com/</t>
        </is>
      </c>
    </row>
    <row r="102">
      <c r="C102" t="inlineStr">
        <is>
          <t>http://agriheart.jp/</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49" r:id="rId26"/>
    <hyperlink xmlns:r="http://schemas.openxmlformats.org/officeDocument/2006/relationships" ref="C50" r:id="rId27"/>
    <hyperlink xmlns:r="http://schemas.openxmlformats.org/officeDocument/2006/relationships" ref="C51" r:id="rId28"/>
    <hyperlink xmlns:r="http://schemas.openxmlformats.org/officeDocument/2006/relationships" ref="C52" r:id="rId29"/>
    <hyperlink xmlns:r="http://schemas.openxmlformats.org/officeDocument/2006/relationships" ref="C53" r:id="rId30"/>
    <hyperlink xmlns:r="http://schemas.openxmlformats.org/officeDocument/2006/relationships" ref="C55" r:id="rId31"/>
    <hyperlink xmlns:r="http://schemas.openxmlformats.org/officeDocument/2006/relationships" ref="C56" r:id="rId32"/>
    <hyperlink xmlns:r="http://schemas.openxmlformats.org/officeDocument/2006/relationships" ref="C57" r:id="rId33"/>
    <hyperlink xmlns:r="http://schemas.openxmlformats.org/officeDocument/2006/relationships" ref="C58" r:id="rId34"/>
    <hyperlink xmlns:r="http://schemas.openxmlformats.org/officeDocument/2006/relationships" ref="C65" r:id="rId35"/>
    <hyperlink xmlns:r="http://schemas.openxmlformats.org/officeDocument/2006/relationships" ref="C70" r:id="rId36"/>
    <hyperlink xmlns:r="http://schemas.openxmlformats.org/officeDocument/2006/relationships" ref="C87" r:id="rId37"/>
    <hyperlink xmlns:r="http://schemas.openxmlformats.org/officeDocument/2006/relationships" ref="C88" r:id="rId38"/>
    <hyperlink xmlns:r="http://schemas.openxmlformats.org/officeDocument/2006/relationships" ref="C89" r:id="rId39"/>
    <hyperlink xmlns:r="http://schemas.openxmlformats.org/officeDocument/2006/relationships" ref="C90" r:id="rId40"/>
    <hyperlink xmlns:r="http://schemas.openxmlformats.org/officeDocument/2006/relationships" ref="C92" r:id="rId41"/>
    <hyperlink xmlns:r="http://schemas.openxmlformats.org/officeDocument/2006/relationships" ref="C95" r:id="rId42"/>
    <hyperlink xmlns:r="http://schemas.openxmlformats.org/officeDocument/2006/relationships" ref="C96" r:id="rId43"/>
    <hyperlink xmlns:r="http://schemas.openxmlformats.org/officeDocument/2006/relationships" ref="C97" r:id="rId44"/>
    <hyperlink xmlns:r="http://schemas.openxmlformats.org/officeDocument/2006/relationships" ref="C98" r:id="rId45"/>
    <hyperlink xmlns:r="http://schemas.openxmlformats.org/officeDocument/2006/relationships" ref="C99" r:id="rId46"/>
    <hyperlink xmlns:r="http://schemas.openxmlformats.org/officeDocument/2006/relationships" ref="C101" r:id="rId47"/>
    <hyperlink xmlns:r="http://schemas.openxmlformats.org/officeDocument/2006/relationships" ref="C102" r:id="rId48"/>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0" customWidth="1" min="3" max="3"/>
    <col width="12" customWidth="1" min="4" max="4"/>
    <col width="12" customWidth="1" min="5" max="5"/>
    <col width="30" customWidth="1" min="6" max="6"/>
    <col width="14" customWidth="1" min="7" max="7"/>
    <col width="14" customWidth="1" min="8" max="8"/>
    <col width="14" customWidth="1" min="9" max="9"/>
    <col width="50" customWidth="1" min="10" max="10"/>
    <col width="30" customWidth="1" min="11" max="11"/>
    <col width="12" customWidth="1" min="12" max="12"/>
  </cols>
  <sheetData>
    <row r="1">
      <c r="A1" s="11" t="inlineStr">
        <is>
          <t>No.</t>
        </is>
      </c>
      <c r="B1" s="11" t="inlineStr">
        <is>
          <t>日付</t>
        </is>
      </c>
      <c r="C1" s="11" t="inlineStr">
        <is>
          <t>開始時刻</t>
        </is>
      </c>
      <c r="D1" s="11" t="inlineStr">
        <is>
          <t>通話時間(分)</t>
        </is>
      </c>
      <c r="E1" s="11" t="inlineStr">
        <is>
          <t>シート</t>
        </is>
      </c>
      <c r="F1" s="11" t="inlineStr">
        <is>
          <t>企業名</t>
        </is>
      </c>
      <c r="G1" s="11" t="inlineStr">
        <is>
          <t>担当者(自社)</t>
        </is>
      </c>
      <c r="H1" s="11" t="inlineStr">
        <is>
          <t>相手先担当者</t>
        </is>
      </c>
      <c r="I1" s="11" t="inlineStr">
        <is>
          <t>結果</t>
        </is>
      </c>
      <c r="J1" s="11" t="inlineStr">
        <is>
          <t>内容メモ</t>
        </is>
      </c>
      <c r="K1" s="11" t="inlineStr">
        <is>
          <t>次回ToDo</t>
        </is>
      </c>
      <c r="L1" s="11" t="inlineStr">
        <is>
          <t>次回予定日</t>
        </is>
      </c>
    </row>
  </sheetData>
  <autoFilter ref="A1:L1"/>
  <dataValidations count="2">
    <dataValidation sqref="I2:I1000" showDropDown="0" showInputMessage="0" showErrorMessage="0" allowBlank="1" type="list">
      <formula1>"つながった,不在,留守電,断り,担当者不在,アポ獲得,商談,折返し待ち,その他"</formula1>
    </dataValidation>
    <dataValidation sqref="E2:E1000" showDropDown="0" showInputMessage="0" showErrorMessage="0" allowBlank="1" type="list">
      <formula1>"JAリスト,畜種農業"</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武田 悦郎 (Etsuro Takeda)</dc:creator>
  <dcterms:created xsi:type="dcterms:W3CDTF">2026-04-22T14:30:44Z</dcterms:created>
  <dcterms:modified xsi:type="dcterms:W3CDTF">2026-05-14T02:42:13Z</dcterms:modified>
  <cp:lastModifiedBy>武田 悦郎 (Etsuro Takeda)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0x010100FB5D0F056A9BE342A53C78A05252BFC3</vt:lpwstr>
  </property>
</Properties>
</file>