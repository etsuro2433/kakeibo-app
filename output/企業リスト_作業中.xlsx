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JAリスト" sheetId="1" state="visible" r:id="rId1"/>
    <sheet name="畜種農業" sheetId="2" state="visible" r:id="rId2"/>
    <sheet name="加電履歴" sheetId="3" state="visible" r:id="rId3"/>
  </sheets>
  <definedNames>
    <definedName name="_xlnm._FilterDatabase" localSheetId="2" hidden="1">'加電履歴'!$A$1:$L$1</definedName>
  </definedNames>
  <calcPr calcId="191028" fullCalcOnLoad="1"/>
</workbook>
</file>

<file path=xl/styles.xml><?xml version="1.0" encoding="utf-8"?>
<styleSheet xmlns="http://schemas.openxmlformats.org/spreadsheetml/2006/main">
  <numFmts count="1">
    <numFmt numFmtId="164" formatCode="yyyy/mm/dd"/>
  </numFmts>
  <fonts count="10">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s>
  <fills count="6">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2.xml.rels><Relationships xmlns="http://schemas.openxmlformats.org/package/2006/relationships"><Relationship Type="http://schemas.openxmlformats.org/officeDocument/2006/relationships/hyperlink" Target="https://www.kalm.co.jp/" TargetMode="External" Id="rId1" /><Relationship Type="http://schemas.openxmlformats.org/officeDocument/2006/relationships/hyperlink" Target="http://www.machimura.co.jp/" TargetMode="External" Id="rId2" /><Relationship Type="http://schemas.openxmlformats.org/officeDocument/2006/relationships/hyperlink" Target="https://ooya-farm.com/" TargetMode="External" Id="rId3" /><Relationship Type="http://schemas.openxmlformats.org/officeDocument/2006/relationships/hyperlink" Target="https://asanofarm.com/" TargetMode="External" Id="rId4" /><Relationship Type="http://schemas.openxmlformats.org/officeDocument/2006/relationships/hyperlink" Target="https://nagamitsufarm.com/" TargetMode="External" Id="rId5" /><Relationship Type="http://schemas.openxmlformats.org/officeDocument/2006/relationships/hyperlink" Target="https://murakami-farm.com/" TargetMode="External" Id="rId6" /><Relationship Type="http://schemas.openxmlformats.org/officeDocument/2006/relationships/hyperlink" Target="https://www.mainichi-milk.co.jp/" TargetMode="External" Id="rId7" /><Relationship Type="http://schemas.openxmlformats.org/officeDocument/2006/relationships/hyperlink" Target="https://ohtafarm-tamago.com/" TargetMode="External" Id="rId8" /><Relationship Type="http://schemas.openxmlformats.org/officeDocument/2006/relationships/hyperlink" Target="https://www.utopiaagriculture.com/" TargetMode="External" Id="rId9" /><Relationship Type="http://schemas.openxmlformats.org/officeDocument/2006/relationships/hyperlink" Target="https://www.oh-farm.co.jp/" TargetMode="External" Id="rId10" /><Relationship Type="http://schemas.openxmlformats.org/officeDocument/2006/relationships/hyperlink" Target="http://www.yamanaka-pork.com/" TargetMode="External" Id="rId11" /><Relationship Type="http://schemas.openxmlformats.org/officeDocument/2006/relationships/hyperlink" Target="https://www.elmlane.co.jp/" TargetMode="External" Id="rId12" /><Relationship Type="http://schemas.openxmlformats.org/officeDocument/2006/relationships/hyperlink" Target="https://www.hokuryo.co.jp/" TargetMode="External" Id="rId13" /><Relationship Type="http://schemas.openxmlformats.org/officeDocument/2006/relationships/hyperlink" Target="https://www.hokuryo.co.jp/" TargetMode="External" Id="rId14" /><Relationship Type="http://schemas.openxmlformats.org/officeDocument/2006/relationships/hyperlink" Target="http://kumiai-farm.co.jp/" TargetMode="External" Id="rId15" /><Relationship Type="http://schemas.openxmlformats.org/officeDocument/2006/relationships/hyperlink" Target="https://kobayashibokujo.com/" TargetMode="External" Id="rId16" /><Relationship Type="http://schemas.openxmlformats.org/officeDocument/2006/relationships/hyperlink" Target="https://ikebata-farm.com/" TargetMode="External" Id="rId17" /><Relationship Type="http://schemas.openxmlformats.org/officeDocument/2006/relationships/hyperlink" Target="https://www.agricola.jp/" TargetMode="External" Id="rId18" /><Relationship Type="http://schemas.openxmlformats.org/officeDocument/2006/relationships/hyperlink" Target="https://hokkaido-chuobokujo.com/" TargetMode="External" Id="rId19" /><Relationship Type="http://schemas.openxmlformats.org/officeDocument/2006/relationships/hyperlink" Target="https://www.tondenfarm.co.jp/" TargetMode="External" Id="rId20" /><Relationship Type="http://schemas.openxmlformats.org/officeDocument/2006/relationships/hyperlink" Target="https://www.facebook.com/Toubufarm/" TargetMode="External" Id="rId21" /><Relationship Type="http://schemas.openxmlformats.org/officeDocument/2006/relationships/hyperlink" Target="http://www.moromi.co.jp/" TargetMode="External" Id="rId22" /><Relationship Type="http://schemas.openxmlformats.org/officeDocument/2006/relationships/hyperlink" Target="http://biei-farm.co.jp/" TargetMode="External" Id="rId23" /><Relationship Type="http://schemas.openxmlformats.org/officeDocument/2006/relationships/hyperlink" Target="https://f-chiyoda.com/" TargetMode="External" Id="rId24" /><Relationship Type="http://schemas.openxmlformats.org/officeDocument/2006/relationships/hyperlink" Target="https://furanobokujo.com/" TargetMode="External" Id="rId25" /><Relationship Type="http://schemas.openxmlformats.org/officeDocument/2006/relationships/hyperlink" Target="https://www.toyotomi-milk.co.jp/" TargetMode="External" Id="rId26" /><Relationship Type="http://schemas.openxmlformats.org/officeDocument/2006/relationships/hyperlink" Target="https://www.nipponham-hokkaidofa.co.jp/" TargetMode="External" Id="rId27" /><Relationship Type="http://schemas.openxmlformats.org/officeDocument/2006/relationships/hyperlink" Target="https://www.ja-esoya.com/" TargetMode="External" Id="rId28" /><Relationship Type="http://schemas.openxmlformats.org/officeDocument/2006/relationships/hyperlink" Target="https://www.city.asahikawa.hokkaido.jp/500/501/504/p005231.html" TargetMode="External" Id="rId29" /><Relationship Type="http://schemas.openxmlformats.org/officeDocument/2006/relationships/hyperlink" Target="http://www.tonakai-farm.com/" TargetMode="External" Id="rId30" /><Relationship Type="http://schemas.openxmlformats.org/officeDocument/2006/relationships/hyperlink" Target="https://taisetsu-farm325.com/" TargetMode="External" Id="rId31" /><Relationship Type="http://schemas.openxmlformats.org/officeDocument/2006/relationships/hyperlink" Target="http://www.genseibokujou.co.jp/" TargetMode="External" Id="rId32" /><Relationship Type="http://schemas.openxmlformats.org/officeDocument/2006/relationships/hyperlink" Target="https://www.hokkaido-pork.jp/farm/feedone/farm_kyodo/" TargetMode="External" Id="rId33" /><Relationship Type="http://schemas.openxmlformats.org/officeDocument/2006/relationships/hyperlink" Target="https://kitakitsune-farm.com/" TargetMode="External" Id="rId34" /><Relationship Type="http://schemas.openxmlformats.org/officeDocument/2006/relationships/hyperlink" Target="http://www.bihoro-gyu.com/" TargetMode="External" Id="rId35" /><Relationship Type="http://schemas.openxmlformats.org/officeDocument/2006/relationships/hyperlink" Target="https://sasaki-web.net/" TargetMode="External" Id="rId36" /><Relationship Type="http://schemas.openxmlformats.org/officeDocument/2006/relationships/hyperlink" Target="https://tikusan.securesite.jp/" TargetMode="External" Id="rId37" /><Relationship Type="http://schemas.openxmlformats.org/officeDocument/2006/relationships/hyperlink" Target="https://www.yamaguchifarm.com/" TargetMode="External" Id="rId38" /><Relationship Type="http://schemas.openxmlformats.org/officeDocument/2006/relationships/hyperlink" Target="https://www.nishi-farm.com/" TargetMode="External" Id="rId39" /><Relationship Type="http://schemas.openxmlformats.org/officeDocument/2006/relationships/hyperlink" Target="https://tsubetsufarm.com/" TargetMode="External" Id="rId40" /><Relationship Type="http://schemas.openxmlformats.org/officeDocument/2006/relationships/hyperlink" Target="https://zoo.hokkaido.jp/okhotsctemu/" TargetMode="External" Id="rId41" /><Relationship Type="http://schemas.openxmlformats.org/officeDocument/2006/relationships/hyperlink" Target="https://nagao-sangyo.com/" TargetMode="External" Id="rId42" /><Relationship Type="http://schemas.openxmlformats.org/officeDocument/2006/relationships/hyperlink" Target="http://agriheart.jp/" TargetMode="External" Id="rId43" /></Relationships>
</file>

<file path=xl/worksheets/sheet1.xml><?xml version="1.0" encoding="utf-8"?>
<worksheet xmlns="http://schemas.openxmlformats.org/spreadsheetml/2006/main">
  <sheetPr>
    <outlinePr summaryBelow="0" summaryRight="0"/>
    <pageSetUpPr/>
  </sheetPr>
  <dimension ref="A1:AQ53"/>
  <sheetViews>
    <sheetView workbookViewId="0">
      <pane xSplit="1" topLeftCell="B1" activePane="topRight" state="frozen"/>
      <selection pane="topRight" activeCell="A1" sqref="A1:AM1"/>
    </sheetView>
  </sheetViews>
  <sheetFormatPr baseColWidth="8" defaultColWidth="12.54296875" defaultRowHeight="15.75" customHeight="1"/>
  <cols>
    <col width="13.26953125"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s="2" t="inlineStr">
        <is>
          <t>企業名</t>
        </is>
      </c>
      <c r="B1" s="2" t="inlineStr">
        <is>
          <t>ホームページ</t>
        </is>
      </c>
      <c r="C1" s="2" t="inlineStr">
        <is>
          <t>住所</t>
        </is>
      </c>
      <c r="D1" s="2" t="inlineStr">
        <is>
          <t>電話番号</t>
        </is>
      </c>
      <c r="E1" s="4" t="inlineStr">
        <is>
          <t>地域の農業特徴・特産品情報</t>
        </is>
      </c>
      <c r="F1" s="4" t="inlineStr">
        <is>
          <t>想定される課題・アプローチのポイント</t>
        </is>
      </c>
      <c r="G1" s="4" t="inlineStr">
        <is>
          <t>提案の切り口（自社サービス・強み）</t>
        </is>
      </c>
      <c r="H1" s="2" t="inlineStr">
        <is>
          <t>担当部署</t>
        </is>
      </c>
      <c r="I1" s="2" t="inlineStr">
        <is>
          <t>役職</t>
        </is>
      </c>
      <c r="J1" s="2" t="inlineStr">
        <is>
          <t>担当者</t>
        </is>
      </c>
      <c r="K1" s="2" t="inlineStr">
        <is>
          <t>活用状況</t>
        </is>
      </c>
      <c r="L1" s="2" t="inlineStr">
        <is>
          <t>実習人数</t>
        </is>
      </c>
      <c r="M1" s="2" t="inlineStr">
        <is>
          <t>実習_国籍</t>
        </is>
      </c>
      <c r="N1" s="2" t="inlineStr">
        <is>
          <t>特技人数</t>
        </is>
      </c>
      <c r="O1" s="2" t="inlineStr">
        <is>
          <t>特技_国籍</t>
        </is>
      </c>
      <c r="P1" s="2" t="inlineStr">
        <is>
          <t>既存状況</t>
        </is>
      </c>
      <c r="Q1" s="2" t="inlineStr">
        <is>
          <t>営業状況</t>
        </is>
      </c>
      <c r="R1" s="2" t="inlineStr">
        <is>
          <t>ステータス</t>
        </is>
      </c>
      <c r="S1" s="2" t="inlineStr">
        <is>
          <t>進捗</t>
        </is>
      </c>
      <c r="T1" s="2" t="inlineStr">
        <is>
          <t>初回訪問日</t>
        </is>
      </c>
      <c r="U1" s="2" t="inlineStr">
        <is>
          <t>最終コンタクト日</t>
        </is>
      </c>
      <c r="V1" s="2" t="inlineStr">
        <is>
          <t>最終経過日数</t>
        </is>
      </c>
      <c r="W1" s="2" t="inlineStr">
        <is>
          <t>訪問履歴</t>
        </is>
      </c>
      <c r="X1" s="2" t="inlineStr">
        <is>
          <t>最終アクション（日付・結果/詳細）</t>
        </is>
      </c>
      <c r="Y1" s="2" t="inlineStr">
        <is>
          <t>日付</t>
        </is>
      </c>
      <c r="Z1" s="2" t="inlineStr">
        <is>
          <t>行動</t>
        </is>
      </c>
      <c r="AA1" s="2" t="inlineStr">
        <is>
          <t>次回アクション予定</t>
        </is>
      </c>
      <c r="AB1" s="2" t="inlineStr">
        <is>
          <t>予定日</t>
        </is>
      </c>
      <c r="AC1" s="2" t="inlineStr">
        <is>
          <t>連携元</t>
        </is>
      </c>
      <c r="AD1" s="2" t="inlineStr">
        <is>
          <t>連携元所属</t>
        </is>
      </c>
      <c r="AE1" s="2" t="inlineStr">
        <is>
          <t>連携者</t>
        </is>
      </c>
      <c r="AF1" s="2" t="inlineStr">
        <is>
          <t>連携先</t>
        </is>
      </c>
      <c r="AG1" s="2" t="inlineStr">
        <is>
          <t>担当所属</t>
        </is>
      </c>
      <c r="AH1" s="2" t="inlineStr">
        <is>
          <t>営業担当</t>
        </is>
      </c>
      <c r="AI1" s="2" t="inlineStr">
        <is>
          <t>受注日</t>
        </is>
      </c>
      <c r="AJ1" s="2" t="inlineStr">
        <is>
          <t>受注内容</t>
        </is>
      </c>
      <c r="AK1" s="2" t="inlineStr">
        <is>
          <t>配属予定日</t>
        </is>
      </c>
      <c r="AL1" s="2" t="inlineStr">
        <is>
          <t>受注_国籍</t>
        </is>
      </c>
      <c r="AM1" s="2" t="inlineStr">
        <is>
          <t>受注_人数</t>
        </is>
      </c>
      <c r="AN1" s="2" t="inlineStr">
        <is>
          <t>状況</t>
        </is>
      </c>
      <c r="AO1" s="2" t="inlineStr">
        <is>
          <t>加電回数</t>
        </is>
      </c>
      <c r="AP1" s="2" t="inlineStr">
        <is>
          <t>最終加電日</t>
        </is>
      </c>
      <c r="AQ1" s="2" t="inlineStr">
        <is>
          <t>最終結果</t>
        </is>
      </c>
    </row>
    <row r="2" ht="12.5" customHeight="1">
      <c r="A2" s="13" t="inlineStr">
        <is>
          <t>JA道央</t>
        </is>
      </c>
      <c r="B2" s="12" t="inlineStr">
        <is>
          <t>https://www.ja-douou.or.jp/</t>
        </is>
      </c>
      <c r="C2" s="13" t="inlineStr">
        <is>
          <t>北海道恵庭市島松仲町2丁目10-1 (〒061-1352) ※本所</t>
        </is>
      </c>
      <c r="D2" s="13" t="inlineStr">
        <is>
          <t>0123-36-1122</t>
        </is>
      </c>
      <c r="E2" s="6" t="inlineStr">
        <is>
          <t>都市近郊型の稲作、野菜、花き栽培が盛ん。</t>
        </is>
      </c>
      <c r="F2" s="1" t="inlineStr">
        <is>
          <t>多品目栽培により一年を通して労働力が必要。都市部近くのため人材の定着は比較的見込める。</t>
        </is>
      </c>
      <c r="G2" s="5" t="inlineStr">
        <is>
          <t>補助金採択を条件とした完全成果報酬型を提示し、複数農家での人材シェアリングを提案。</t>
        </is>
      </c>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inlineStr">
        <is>
          <t>BREXA CrossBorder</t>
        </is>
      </c>
      <c r="AH2" s="1" t="inlineStr">
        <is>
          <t>武田 悦郎</t>
        </is>
      </c>
      <c r="AI2" s="1" t="n"/>
      <c r="AJ2" s="1" t="n"/>
      <c r="AK2" s="1" t="n"/>
      <c r="AL2" s="1" t="n"/>
      <c r="AM2" s="1" t="n"/>
      <c r="AN2" s="1" t="n"/>
      <c r="AO2">
        <f>COUNTIFS(加電履歴!$F:$F,A2,加電履歴!$E:$E,"JAリスト")</f>
        <v/>
      </c>
      <c r="AP2" s="10">
        <f>IFERROR(IF(COUNTIFS(加電履歴!$F:$F,A2,加電履歴!$E:$E,"JAリスト")=0,"",MAXIFS(加電履歴!$B:$B,加電履歴!$F:$F,A2,加電履歴!$E:$E,"JAリスト")),"")</f>
        <v/>
      </c>
      <c r="AQ2">
        <f>IFERROR(IF(COUNTIFS(加電履歴!$F:$F,A2,加電履歴!$E:$E,"JAリスト")=0,"",INDEX(加電履歴!$I:$I,MATCH(1,(加電履歴!$F:$F=A2)*(加電履歴!$E:$E="JAリスト")*(加電履歴!$B:$B=MAXIFS(加電履歴!$B:$B,加電履歴!$F:$F,A2,加電履歴!$E:$E,"JAリスト")),0))),"")</f>
        <v/>
      </c>
    </row>
    <row r="3" ht="12.5" customHeight="1">
      <c r="A3" s="13" t="inlineStr">
        <is>
          <t>JA北いしかり (旧JA北石狩)</t>
        </is>
      </c>
      <c r="B3" s="12" t="inlineStr">
        <is>
          <t>https://www.ja-kitaishikari.or.jp/</t>
        </is>
      </c>
      <c r="C3" s="13" t="inlineStr">
        <is>
          <t>北海道石狩郡当別町錦町53-57 (〒061-0295) ※本所は当別町</t>
        </is>
      </c>
      <c r="D3" s="13" t="inlineStr">
        <is>
          <t>0133-23-2530</t>
        </is>
      </c>
      <c r="E3" s="1" t="inlineStr">
        <is>
          <t>にんじん、大根などの根菜類、稲作。</t>
        </is>
      </c>
      <c r="F3" s="1" t="inlineStr">
        <is>
          <t>収穫期における短期集中的な人員不足。選果場での労働者の高齢化。</t>
        </is>
      </c>
      <c r="G3" s="1" t="inlineStr">
        <is>
          <t>選果場での業務定着に向け、語学教育ノウハウを活かした入国前後の手厚い日本語支援をアピール。</t>
        </is>
      </c>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inlineStr">
        <is>
          <t>BREXA CrossBorder</t>
        </is>
      </c>
      <c r="AH3" s="1" t="inlineStr">
        <is>
          <t>武田 悦郎</t>
        </is>
      </c>
      <c r="AI3" s="1" t="n"/>
      <c r="AJ3" s="1" t="n"/>
      <c r="AK3" s="1" t="n"/>
      <c r="AL3" s="1" t="n"/>
      <c r="AM3" s="1" t="n"/>
      <c r="AN3" s="1" t="n"/>
      <c r="AO3">
        <f>COUNTIFS(加電履歴!$F:$F,A3,加電履歴!$E:$E,"JAリスト")</f>
        <v/>
      </c>
      <c r="AP3" s="10">
        <f>IFERROR(IF(COUNTIFS(加電履歴!$F:$F,A3,加電履歴!$E:$E,"JAリスト")=0,"",MAXIFS(加電履歴!$B:$B,加電履歴!$F:$F,A3,加電履歴!$E:$E,"JAリスト")),"")</f>
        <v/>
      </c>
      <c r="AQ3">
        <f>IFERROR(IF(COUNTIFS(加電履歴!$F:$F,A3,加電履歴!$E:$E,"JAリスト")=0,"",INDEX(加電履歴!$I:$I,MATCH(1,(加電履歴!$F:$F=A3)*(加電履歴!$E:$E="JAリスト")*(加電履歴!$B:$B=MAXIFS(加電履歴!$B:$B,加電履歴!$F:$F,A3,加電履歴!$E:$E,"JAリスト")),0))),"")</f>
        <v/>
      </c>
    </row>
    <row r="4" ht="12.5" customHeight="1">
      <c r="A4" s="13" t="inlineStr">
        <is>
          <t>JA新しのつ</t>
        </is>
      </c>
      <c r="B4" s="12" t="inlineStr">
        <is>
          <t>https://www.ja-shinshinotsu.or.jp/</t>
        </is>
      </c>
      <c r="C4" s="13" t="inlineStr">
        <is>
          <t>北海道石狩郡新篠津村第47線北13 (〒068-1193)</t>
        </is>
      </c>
      <c r="D4" s="13" t="inlineStr">
        <is>
          <t>0126-57-2311</t>
        </is>
      </c>
      <c r="E4" s="1" t="inlineStr">
        <is>
          <t>クリーン農業を推進。米、玉ねぎ、白菜。</t>
        </is>
      </c>
      <c r="F4" s="1" t="inlineStr">
        <is>
          <t>村単位での労働力確保が難しく、外部からの人材流入が不可欠。</t>
        </is>
      </c>
      <c r="G4" s="1" t="inlineStr">
        <is>
          <t>村全体での受け入れ体制構築に向け、語学教育と人材紹介のハイブリッド支援を成果報酬で提案。</t>
        </is>
      </c>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inlineStr">
        <is>
          <t>BREXA CrossBorder</t>
        </is>
      </c>
      <c r="AH4" s="1" t="inlineStr">
        <is>
          <t>武田 悦郎</t>
        </is>
      </c>
      <c r="AI4" s="1" t="n"/>
      <c r="AJ4" s="1" t="n"/>
      <c r="AK4" s="1" t="n"/>
      <c r="AL4" s="1" t="n"/>
      <c r="AM4" s="1" t="n"/>
      <c r="AN4" s="1" t="n"/>
      <c r="AO4">
        <f>COUNTIFS(加電履歴!$F:$F,A4,加電履歴!$E:$E,"JAリスト")</f>
        <v/>
      </c>
      <c r="AP4" s="10">
        <f>IFERROR(IF(COUNTIFS(加電履歴!$F:$F,A4,加電履歴!$E:$E,"JAリスト")=0,"",MAXIFS(加電履歴!$B:$B,加電履歴!$F:$F,A4,加電履歴!$E:$E,"JAリスト")),"")</f>
        <v/>
      </c>
      <c r="AQ4">
        <f>IFERROR(IF(COUNTIFS(加電履歴!$F:$F,A4,加電履歴!$E:$E,"JAリスト")=0,"",INDEX(加電履歴!$I:$I,MATCH(1,(加電履歴!$F:$F=A4)*(加電履歴!$E:$E="JAリスト")*(加電履歴!$B:$B=MAXIFS(加電履歴!$B:$B,加電履歴!$F:$F,A4,加電履歴!$E:$E,"JAリスト")),0))),"")</f>
        <v/>
      </c>
    </row>
    <row r="5" ht="12.5" customHeight="1">
      <c r="A5" s="13" t="inlineStr">
        <is>
          <t>JAいわみざわ</t>
        </is>
      </c>
      <c r="B5" s="12" t="inlineStr">
        <is>
          <t>https://ja-iwamizawa.or.jp/</t>
        </is>
      </c>
      <c r="C5" s="13" t="inlineStr">
        <is>
          <t>北海道岩見沢市2条西1丁目1番地 (〒068-0022) ※新本所</t>
        </is>
      </c>
      <c r="D5" s="13" t="inlineStr">
        <is>
          <t>0126-25-2211</t>
        </is>
      </c>
      <c r="E5" s="1" t="inlineStr">
        <is>
          <t>道内有数の稲作地帯。玉ねぎや小麦も大規模。</t>
        </is>
      </c>
      <c r="F5" s="1" t="inlineStr">
        <is>
          <t>大型機械オペレーターの補助や、玉ねぎの収穫・選別作業の人手不足。</t>
        </is>
      </c>
      <c r="G5" s="1" t="inlineStr">
        <is>
          <t>特定技能人材の提案とともに、初期費用ゼロの補助金活用スキームで導入ハードルを下げる。</t>
        </is>
      </c>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inlineStr">
        <is>
          <t>BREXA CrossBorder</t>
        </is>
      </c>
      <c r="AH5" s="1" t="inlineStr">
        <is>
          <t>武田 悦郎</t>
        </is>
      </c>
      <c r="AI5" s="1" t="n"/>
      <c r="AJ5" s="1" t="n"/>
      <c r="AK5" s="1" t="n"/>
      <c r="AL5" s="1" t="n"/>
      <c r="AM5" s="1" t="n"/>
      <c r="AN5" s="1" t="n"/>
      <c r="AO5">
        <f>COUNTIFS(加電履歴!$F:$F,A5,加電履歴!$E:$E,"JAリスト")</f>
        <v/>
      </c>
      <c r="AP5" s="10">
        <f>IFERROR(IF(COUNTIFS(加電履歴!$F:$F,A5,加電履歴!$E:$E,"JAリスト")=0,"",MAXIFS(加電履歴!$B:$B,加電履歴!$F:$F,A5,加電履歴!$E:$E,"JAリスト")),"")</f>
        <v/>
      </c>
      <c r="AQ5">
        <f>IFERROR(IF(COUNTIFS(加電履歴!$F:$F,A5,加電履歴!$E:$E,"JAリスト")=0,"",INDEX(加電履歴!$I:$I,MATCH(1,(加電履歴!$F:$F=A5)*(加電履歴!$E:$E="JAリスト")*(加電履歴!$B:$B=MAXIFS(加電履歴!$B:$B,加電履歴!$F:$F,A5,加電履歴!$E:$E,"JAリスト")),0))),"")</f>
        <v/>
      </c>
    </row>
    <row r="6" ht="12.5" customHeight="1">
      <c r="A6" s="13" t="inlineStr">
        <is>
          <t>JAみねのぶ</t>
        </is>
      </c>
      <c r="B6" s="12" t="inlineStr">
        <is>
          <t>http://www.ja-minenobu.or.jp/</t>
        </is>
      </c>
      <c r="C6" s="13" t="inlineStr">
        <is>
          <t>北海道美唄市峰延町本町1862-1</t>
        </is>
      </c>
      <c r="D6" s="13" t="inlineStr">
        <is>
          <t>0126-67-2111</t>
        </is>
      </c>
      <c r="E6" s="1" t="inlineStr">
        <is>
          <t>米、メロン、アスパラなどの高付加価値作物。</t>
        </is>
      </c>
      <c r="F6" s="1" t="inlineStr">
        <is>
          <t>手作業が必要な収穫作業において、繊細な作業ができる人材が求められる。</t>
        </is>
      </c>
      <c r="G6" s="1" t="inlineStr">
        <is>
          <t>やさしい日本語講座を通じた細やかなコミュニケーション支援を強調し、作業ミスの防止をアピール。</t>
        </is>
      </c>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inlineStr">
        <is>
          <t>BREXA CrossBorder</t>
        </is>
      </c>
      <c r="AH6" s="1" t="inlineStr">
        <is>
          <t>武田 悦郎</t>
        </is>
      </c>
      <c r="AI6" s="1" t="n"/>
      <c r="AJ6" s="1" t="n"/>
      <c r="AK6" s="1" t="n"/>
      <c r="AL6" s="1" t="n"/>
      <c r="AM6" s="1" t="n"/>
      <c r="AN6" s="1" t="n"/>
      <c r="AO6">
        <f>COUNTIFS(加電履歴!$F:$F,A6,加電履歴!$E:$E,"JAリスト")</f>
        <v/>
      </c>
      <c r="AP6" s="10">
        <f>IFERROR(IF(COUNTIFS(加電履歴!$F:$F,A6,加電履歴!$E:$E,"JAリスト")=0,"",MAXIFS(加電履歴!$B:$B,加電履歴!$F:$F,A6,加電履歴!$E:$E,"JAリスト")),"")</f>
        <v/>
      </c>
      <c r="AQ6">
        <f>IFERROR(IF(COUNTIFS(加電履歴!$F:$F,A6,加電履歴!$E:$E,"JAリスト")=0,"",INDEX(加電履歴!$I:$I,MATCH(1,(加電履歴!$F:$F=A6)*(加電履歴!$E:$E="JAリスト")*(加電履歴!$B:$B=MAXIFS(加電履歴!$B:$B,加電履歴!$F:$F,A6,加電履歴!$E:$E,"JAリスト")),0))),"")</f>
        <v/>
      </c>
    </row>
    <row r="7" ht="12.5" customHeight="1">
      <c r="A7" s="13" t="inlineStr">
        <is>
          <t>JAびばい</t>
        </is>
      </c>
      <c r="B7" s="12" t="inlineStr">
        <is>
          <t>https://www.ja-bibai.or.jp/</t>
        </is>
      </c>
      <c r="C7" s="13" t="inlineStr">
        <is>
          <t>北海道美唄市大通東1条北1-2-1</t>
        </is>
      </c>
      <c r="D7" s="13" t="inlineStr">
        <is>
          <t>0126-63-2162</t>
        </is>
      </c>
      <c r="E7" s="1" t="inlineStr">
        <is>
          <t>米、グリーンアスパラ、雪中キャベツ。</t>
        </is>
      </c>
      <c r="F7" s="1" t="inlineStr">
        <is>
          <t>冬季の特産品もあり、年間を通した労働力の確保が課題。</t>
        </is>
      </c>
      <c r="G7" s="1" t="inlineStr">
        <is>
          <t>通年雇用を前提とした人材配置。補助金活用によるコスト削減効果をシミュレーションして提示。</t>
        </is>
      </c>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inlineStr">
        <is>
          <t>BREXA CrossBorder</t>
        </is>
      </c>
      <c r="AH7" s="1" t="inlineStr">
        <is>
          <t>武田 悦郎</t>
        </is>
      </c>
      <c r="AI7" s="1" t="n"/>
      <c r="AJ7" s="1" t="n"/>
      <c r="AK7" s="1" t="n"/>
      <c r="AL7" s="1" t="n"/>
      <c r="AM7" s="1" t="n"/>
      <c r="AN7" s="1" t="n"/>
      <c r="AO7">
        <f>COUNTIFS(加電履歴!$F:$F,A7,加電履歴!$E:$E,"JAリスト")</f>
        <v/>
      </c>
      <c r="AP7" s="10">
        <f>IFERROR(IF(COUNTIFS(加電履歴!$F:$F,A7,加電履歴!$E:$E,"JAリスト")=0,"",MAXIFS(加電履歴!$B:$B,加電履歴!$F:$F,A7,加電履歴!$E:$E,"JAリスト")),"")</f>
        <v/>
      </c>
      <c r="AQ7">
        <f>IFERROR(IF(COUNTIFS(加電履歴!$F:$F,A7,加電履歴!$E:$E,"JAリスト")=0,"",INDEX(加電履歴!$I:$I,MATCH(1,(加電履歴!$F:$F=A7)*(加電履歴!$E:$E="JAリスト")*(加電履歴!$B:$B=MAXIFS(加電履歴!$B:$B,加電履歴!$F:$F,A7,加電履歴!$E:$E,"JAリスト")),0))),"")</f>
        <v/>
      </c>
    </row>
    <row r="8" ht="12.5" customHeight="1">
      <c r="A8" s="13" t="inlineStr">
        <is>
          <t>JAたきかわ</t>
        </is>
      </c>
      <c r="B8" s="12" t="inlineStr">
        <is>
          <t>https://www.ja-takikawa.com/</t>
        </is>
      </c>
      <c r="C8" s="13" t="inlineStr">
        <is>
          <t>北海道滝川市本町4丁目1-31</t>
        </is>
      </c>
      <c r="D8" s="13" t="inlineStr">
        <is>
          <t>0125-22-3401</t>
        </is>
      </c>
      <c r="E8" s="1" t="inlineStr">
        <is>
          <t>りんご、米、菜の花、小麦、玉ねぎ。</t>
        </is>
      </c>
      <c r="F8" s="1" t="inlineStr">
        <is>
          <t>果樹の剪定や収穫など、技術習得が必要な作業が多い。</t>
        </is>
      </c>
      <c r="G8" s="1" t="inlineStr">
        <is>
          <t>長期就労を見据えた技能実習からの移行支援と、継続的な語学・生活サポートを提案。</t>
        </is>
      </c>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inlineStr">
        <is>
          <t>BREXA CrossBorder</t>
        </is>
      </c>
      <c r="AH8" s="1" t="inlineStr">
        <is>
          <t>武田 悦郎</t>
        </is>
      </c>
      <c r="AI8" s="1" t="n"/>
      <c r="AJ8" s="1" t="n"/>
      <c r="AK8" s="1" t="n"/>
      <c r="AL8" s="1" t="n"/>
      <c r="AM8" s="1" t="n"/>
      <c r="AN8" s="1" t="n"/>
      <c r="AO8">
        <f>COUNTIFS(加電履歴!$F:$F,A8,加電履歴!$E:$E,"JAリスト")</f>
        <v/>
      </c>
      <c r="AP8" s="10">
        <f>IFERROR(IF(COUNTIFS(加電履歴!$F:$F,A8,加電履歴!$E:$E,"JAリスト")=0,"",MAXIFS(加電履歴!$B:$B,加電履歴!$F:$F,A8,加電履歴!$E:$E,"JAリスト")),"")</f>
        <v/>
      </c>
      <c r="AQ8">
        <f>IFERROR(IF(COUNTIFS(加電履歴!$F:$F,A8,加電履歴!$E:$E,"JAリスト")=0,"",INDEX(加電履歴!$I:$I,MATCH(1,(加電履歴!$F:$F=A8)*(加電履歴!$E:$E="JAリスト")*(加電履歴!$B:$B=MAXIFS(加電履歴!$B:$B,加電履歴!$F:$F,A8,加電履歴!$E:$E,"JAリスト")),0))),"")</f>
        <v/>
      </c>
    </row>
    <row r="9" ht="12.5" customHeight="1">
      <c r="A9" s="13" t="inlineStr">
        <is>
          <t>JA新すながわ</t>
        </is>
      </c>
      <c r="B9" s="12" t="inlineStr">
        <is>
          <t>https://jashinsunagawa.or.jp/</t>
        </is>
      </c>
      <c r="C9" s="13" t="inlineStr">
        <is>
          <t>北海道砂川市東1条南1-1-20</t>
        </is>
      </c>
      <c r="D9" s="13" t="inlineStr">
        <is>
          <t>0125-54-3181</t>
        </is>
      </c>
      <c r="E9" s="1" t="inlineStr">
        <is>
          <t>ゆめぴりか等の高品質米、トマト。</t>
        </is>
      </c>
      <c r="F9" s="1" t="inlineStr">
        <is>
          <t>ハウス栽培における温度管理や収穫作業の労働力不足。</t>
        </is>
      </c>
      <c r="G9" s="1" t="inlineStr">
        <is>
          <t>リスクのない完全成果報酬型モデルを強調し、初めての外国人材受け入れテスト導入を打診。</t>
        </is>
      </c>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inlineStr">
        <is>
          <t>BREXA CrossBorder</t>
        </is>
      </c>
      <c r="AH9" s="1" t="inlineStr">
        <is>
          <t>武田 悦郎</t>
        </is>
      </c>
      <c r="AI9" s="1" t="n"/>
      <c r="AJ9" s="1" t="n"/>
      <c r="AK9" s="1" t="n"/>
      <c r="AL9" s="1" t="n"/>
      <c r="AM9" s="1" t="n"/>
      <c r="AN9" s="1" t="n"/>
      <c r="AO9">
        <f>COUNTIFS(加電履歴!$F:$F,A9,加電履歴!$E:$E,"JAリスト")</f>
        <v/>
      </c>
      <c r="AP9" s="10">
        <f>IFERROR(IF(COUNTIFS(加電履歴!$F:$F,A9,加電履歴!$E:$E,"JAリスト")=0,"",MAXIFS(加電履歴!$B:$B,加電履歴!$F:$F,A9,加電履歴!$E:$E,"JAリスト")),"")</f>
        <v/>
      </c>
      <c r="AQ9">
        <f>IFERROR(IF(COUNTIFS(加電履歴!$F:$F,A9,加電履歴!$E:$E,"JAリスト")=0,"",INDEX(加電履歴!$I:$I,MATCH(1,(加電履歴!$F:$F=A9)*(加電履歴!$E:$E="JAリスト")*(加電履歴!$B:$B=MAXIFS(加電履歴!$B:$B,加電履歴!$F:$F,A9,加電履歴!$E:$E,"JAリスト")),0))),"")</f>
        <v/>
      </c>
    </row>
    <row r="10" ht="12.5" customHeight="1">
      <c r="A10" s="13" t="inlineStr">
        <is>
          <t>JA月形町</t>
        </is>
      </c>
      <c r="B10" s="12" t="inlineStr">
        <is>
          <t>https://www.hamanasu.to/ja-moon/</t>
        </is>
      </c>
      <c r="C10" s="13" t="inlineStr">
        <is>
          <t>北海道樺戸郡月形町1069番地</t>
        </is>
      </c>
      <c r="D10" s="13" t="inlineStr">
        <is>
          <t>0126-53-2111</t>
        </is>
      </c>
      <c r="E10" s="1" t="inlineStr">
        <is>
          <t>花き（切り花）、メロン、スイカ、トマト。</t>
        </is>
      </c>
      <c r="F10" s="1" t="inlineStr">
        <is>
          <t>花き栽培は手作業が多く、繁忙期の労働力確保が死活問題。</t>
        </is>
      </c>
      <c r="G10" s="1" t="inlineStr">
        <is>
          <t>繊細な作業指示が伝わるよう、独自の語学教育プログラム（異文化理解・日本語講座）を強みとする。</t>
        </is>
      </c>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inlineStr">
        <is>
          <t>BREXA CrossBorder</t>
        </is>
      </c>
      <c r="AH10" s="1" t="inlineStr">
        <is>
          <t>武田 悦郎</t>
        </is>
      </c>
      <c r="AI10" s="1" t="n"/>
      <c r="AJ10" s="1" t="n"/>
      <c r="AK10" s="1" t="n"/>
      <c r="AL10" s="1" t="n"/>
      <c r="AM10" s="1" t="n"/>
      <c r="AN10" s="1" t="n"/>
      <c r="AO10">
        <f>COUNTIFS(加電履歴!$F:$F,A10,加電履歴!$E:$E,"JAリスト")</f>
        <v/>
      </c>
      <c r="AP10" s="10">
        <f>IFERROR(IF(COUNTIFS(加電履歴!$F:$F,A10,加電履歴!$E:$E,"JAリスト")=0,"",MAXIFS(加電履歴!$B:$B,加電履歴!$F:$F,A10,加電履歴!$E:$E,"JAリスト")),"")</f>
        <v/>
      </c>
      <c r="AQ10">
        <f>IFERROR(IF(COUNTIFS(加電履歴!$F:$F,A10,加電履歴!$E:$E,"JAリスト")=0,"",INDEX(加電履歴!$I:$I,MATCH(1,(加電履歴!$F:$F=A10)*(加電履歴!$E:$E="JAリスト")*(加電履歴!$B:$B=MAXIFS(加電履歴!$B:$B,加電履歴!$F:$F,A10,加電履歴!$E:$E,"JAリスト")),0))),"")</f>
        <v/>
      </c>
    </row>
    <row r="11" ht="12.5" customHeight="1">
      <c r="A11" s="13" t="inlineStr">
        <is>
          <t>JAきたそらち</t>
        </is>
      </c>
      <c r="B11" s="12" t="inlineStr">
        <is>
          <t>https://www.ja-kitasorachi.com/</t>
        </is>
      </c>
      <c r="C11" s="13" t="inlineStr">
        <is>
          <t>北海道深川市深川町字メム10号線山3線5850番地 (〒074-0015)</t>
        </is>
      </c>
      <c r="D11" s="13" t="inlineStr">
        <is>
          <t>0164-22-6600</t>
        </is>
      </c>
      <c r="E11" s="1" t="inlineStr">
        <is>
          <t>米、そば、りんご、メロン。</t>
        </is>
      </c>
      <c r="F11" s="1" t="inlineStr">
        <is>
          <t>そばや米の大規模栽培における収穫補助、選果場での人材不足。</t>
        </is>
      </c>
      <c r="G11" s="1" t="inlineStr">
        <is>
          <t>補助金申請サポートを含む一気通貫の支援体制を提示し、組合員（農家）への直接紹介を仰ぐ。</t>
        </is>
      </c>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inlineStr">
        <is>
          <t>BREXA CrossBorder</t>
        </is>
      </c>
      <c r="AH11" s="1" t="inlineStr">
        <is>
          <t>武田 悦郎</t>
        </is>
      </c>
      <c r="AI11" s="1" t="n"/>
      <c r="AJ11" s="1" t="n"/>
      <c r="AK11" s="1" t="n"/>
      <c r="AL11" s="1" t="n"/>
      <c r="AM11" s="1" t="n"/>
      <c r="AN11" s="1" t="n"/>
      <c r="AO11">
        <f>COUNTIFS(加電履歴!$F:$F,A11,加電履歴!$E:$E,"JAリスト")</f>
        <v/>
      </c>
      <c r="AP11" s="10">
        <f>IFERROR(IF(COUNTIFS(加電履歴!$F:$F,A11,加電履歴!$E:$E,"JAリスト")=0,"",MAXIFS(加電履歴!$B:$B,加電履歴!$F:$F,A11,加電履歴!$E:$E,"JAリスト")),"")</f>
        <v/>
      </c>
      <c r="AQ11">
        <f>IFERROR(IF(COUNTIFS(加電履歴!$F:$F,A11,加電履歴!$E:$E,"JAリスト")=0,"",INDEX(加電履歴!$I:$I,MATCH(1,(加電履歴!$F:$F=A11)*(加電履歴!$E:$E="JAリスト")*(加電履歴!$B:$B=MAXIFS(加電履歴!$B:$B,加電履歴!$F:$F,A11,加電履歴!$E:$E,"JAリスト")),0))),"")</f>
        <v/>
      </c>
    </row>
    <row r="12" ht="12.5" customHeight="1">
      <c r="A12" s="13" t="inlineStr">
        <is>
          <t>JA北いぶき</t>
        </is>
      </c>
      <c r="B12" s="12" t="inlineStr">
        <is>
          <t>https://www.ja-kitaibuki.or.jp/</t>
        </is>
      </c>
      <c r="C12" s="13" t="inlineStr">
        <is>
          <t>北海道雨竜郡秩父別町1298-8 (〒078-2102) ※本所・秩父別支所</t>
        </is>
      </c>
      <c r="D12" s="13" t="inlineStr">
        <is>
          <t>0164-33-2011</t>
        </is>
      </c>
      <c r="E12" s="1" t="inlineStr">
        <is>
          <t>トマト、ブロッコリー、米。</t>
        </is>
      </c>
      <c r="F12" s="1" t="inlineStr">
        <is>
          <t>鮮度が命の作物において、収穫タイミングを逃さないための人員確保。</t>
        </is>
      </c>
      <c r="G12" s="1" t="inlineStr">
        <is>
          <t>語学教育の知見を活かした「現場で使える日本語」の事前教育を強調し、即戦力化をアピール。</t>
        </is>
      </c>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inlineStr">
        <is>
          <t>BREXA CrossBorder</t>
        </is>
      </c>
      <c r="AH12" s="1" t="inlineStr">
        <is>
          <t>武田 悦郎</t>
        </is>
      </c>
      <c r="AI12" s="1" t="n"/>
      <c r="AJ12" s="1" t="n"/>
      <c r="AK12" s="1" t="n"/>
      <c r="AL12" s="1" t="n"/>
      <c r="AM12" s="1" t="n"/>
      <c r="AN12" s="1" t="n"/>
      <c r="AO12">
        <f>COUNTIFS(加電履歴!$F:$F,A12,加電履歴!$E:$E,"JAリスト")</f>
        <v/>
      </c>
      <c r="AP12" s="10">
        <f>IFERROR(IF(COUNTIFS(加電履歴!$F:$F,A12,加電履歴!$E:$E,"JAリスト")=0,"",MAXIFS(加電履歴!$B:$B,加電履歴!$F:$F,A12,加電履歴!$E:$E,"JAリスト")),"")</f>
        <v/>
      </c>
      <c r="AQ12">
        <f>IFERROR(IF(COUNTIFS(加電履歴!$F:$F,A12,加電履歴!$E:$E,"JAリスト")=0,"",INDEX(加電履歴!$I:$I,MATCH(1,(加電履歴!$F:$F=A12)*(加電履歴!$E:$E="JAリスト")*(加電履歴!$B:$B=MAXIFS(加電履歴!$B:$B,加電履歴!$F:$F,A12,加電履歴!$E:$E,"JAリスト")),0))),"")</f>
        <v/>
      </c>
    </row>
    <row r="13" ht="12.5" customHeight="1">
      <c r="A13" s="13" t="inlineStr">
        <is>
          <t>JAピンネ</t>
        </is>
      </c>
      <c r="B13" s="12" t="inlineStr">
        <is>
          <t>https://www.japinne.or.jp/</t>
        </is>
      </c>
      <c r="C13" s="13" t="inlineStr">
        <is>
          <t>北海道樺戸郡新十津川町字中央6番地29 (〒073-1103)</t>
        </is>
      </c>
      <c r="D13" s="13" t="inlineStr">
        <is>
          <t>0125-76-2221</t>
        </is>
      </c>
      <c r="E13" s="1" t="inlineStr">
        <is>
          <t>米、メロン、アスパラガス。</t>
        </is>
      </c>
      <c r="F13" s="1" t="inlineStr">
        <is>
          <t>農業従事者の高齢化が顕著であり、若手労働力の確保が急務。</t>
        </is>
      </c>
      <c r="G13" s="1" t="inlineStr">
        <is>
          <t>初期費用の持ち出しがないスキームを説明し、若手特定技能人材による事業継承サポートを提案。</t>
        </is>
      </c>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inlineStr">
        <is>
          <t>BREXA CrossBorder</t>
        </is>
      </c>
      <c r="AH13" s="1" t="inlineStr">
        <is>
          <t>武田 悦郎</t>
        </is>
      </c>
      <c r="AI13" s="1" t="n"/>
      <c r="AJ13" s="1" t="n"/>
      <c r="AK13" s="1" t="n"/>
      <c r="AL13" s="1" t="n"/>
      <c r="AM13" s="1" t="n"/>
      <c r="AN13" s="1" t="n"/>
      <c r="AO13">
        <f>COUNTIFS(加電履歴!$F:$F,A13,加電履歴!$E:$E,"JAリスト")</f>
        <v/>
      </c>
      <c r="AP13" s="10">
        <f>IFERROR(IF(COUNTIFS(加電履歴!$F:$F,A13,加電履歴!$E:$E,"JAリスト")=0,"",MAXIFS(加電履歴!$B:$B,加電履歴!$F:$F,A13,加電履歴!$E:$E,"JAリスト")),"")</f>
        <v/>
      </c>
      <c r="AQ13">
        <f>IFERROR(IF(COUNTIFS(加電履歴!$F:$F,A13,加電履歴!$E:$E,"JAリスト")=0,"",INDEX(加電履歴!$I:$I,MATCH(1,(加電履歴!$F:$F=A13)*(加電履歴!$E:$E="JAリスト")*(加電履歴!$B:$B=MAXIFS(加電履歴!$B:$B,加電履歴!$F:$F,A13,加電履歴!$E:$E,"JAリスト")),0))),"")</f>
        <v/>
      </c>
    </row>
    <row r="14" ht="12.5" customHeight="1">
      <c r="A14" s="13" t="inlineStr">
        <is>
          <t>JAよいち (旧JA余市町)</t>
        </is>
      </c>
      <c r="B14" s="12" t="inlineStr">
        <is>
          <t>https://ja-yoichi.or.jp/</t>
        </is>
      </c>
      <c r="C14" s="13" t="inlineStr">
        <is>
          <t>北海道余市郡余市町黒川町5丁目22番地</t>
        </is>
      </c>
      <c r="D14" s="13" t="inlineStr">
        <is>
          <t>0135-23-3121</t>
        </is>
      </c>
      <c r="E14" s="1" t="inlineStr">
        <is>
          <t>りんご、ぶどう（ワイン用含む）、さくらんぼ。</t>
        </is>
      </c>
      <c r="F14" s="1" t="inlineStr">
        <is>
          <t>ワイン用ぶどうの収穫など、季節ごとの労働ピークが激しい。</t>
        </is>
      </c>
      <c r="G14" s="1" t="inlineStr">
        <is>
          <t>農業だけでなく、飲食料品製造（ワイナリー等）の特定技能人材も視野に入れたハイブリッド提案。</t>
        </is>
      </c>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inlineStr">
        <is>
          <t>BREXA CrossBorder</t>
        </is>
      </c>
      <c r="AH14" s="1" t="inlineStr">
        <is>
          <t>武田 悦郎</t>
        </is>
      </c>
      <c r="AI14" s="1" t="n"/>
      <c r="AJ14" s="1" t="n"/>
      <c r="AK14" s="1" t="n"/>
      <c r="AL14" s="1" t="n"/>
      <c r="AM14" s="1" t="n"/>
      <c r="AN14" s="1" t="n"/>
      <c r="AO14">
        <f>COUNTIFS(加電履歴!$F:$F,A14,加電履歴!$E:$E,"JAリスト")</f>
        <v/>
      </c>
      <c r="AP14" s="10">
        <f>IFERROR(IF(COUNTIFS(加電履歴!$F:$F,A14,加電履歴!$E:$E,"JAリスト")=0,"",MAXIFS(加電履歴!$B:$B,加電履歴!$F:$F,A14,加電履歴!$E:$E,"JAリスト")),"")</f>
        <v/>
      </c>
      <c r="AQ14">
        <f>IFERROR(IF(COUNTIFS(加電履歴!$F:$F,A14,加電履歴!$E:$E,"JAリスト")=0,"",INDEX(加電履歴!$I:$I,MATCH(1,(加電履歴!$F:$F=A14)*(加電履歴!$E:$E="JAリスト")*(加電履歴!$B:$B=MAXIFS(加電履歴!$B:$B,加電履歴!$F:$F,A14,加電履歴!$E:$E,"JAリスト")),0))),"")</f>
        <v/>
      </c>
    </row>
    <row r="15" ht="12.5" customHeight="1">
      <c r="A15" s="13" t="inlineStr">
        <is>
          <t>JAきょうわ</t>
        </is>
      </c>
      <c r="B15" s="12" t="inlineStr">
        <is>
          <t>https://www.ja-kyouwa.jp/</t>
        </is>
      </c>
      <c r="C15" s="13" t="inlineStr">
        <is>
          <t>北海道岩内郡共和町前田167 (〒048-2201)</t>
        </is>
      </c>
      <c r="D15" s="13" t="inlineStr">
        <is>
          <t>0135-73-2121</t>
        </is>
      </c>
      <c r="E15" s="1" t="inlineStr">
        <is>
          <t>らいでんメロン、スイカ、米。</t>
        </is>
      </c>
      <c r="F15" s="1" t="inlineStr">
        <is>
          <t>ブランドフルーツの品質を維持するための、丁寧な管理作業の担い手不足。</t>
        </is>
      </c>
      <c r="G15" s="1" t="inlineStr">
        <is>
          <t>手厚い生活サポートと日本語教育により、地域に馴染み責任感を持って働く人材を約束。</t>
        </is>
      </c>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inlineStr">
        <is>
          <t>BREXA CrossBorder</t>
        </is>
      </c>
      <c r="AH15" s="1" t="inlineStr">
        <is>
          <t>武田 悦郎</t>
        </is>
      </c>
      <c r="AI15" s="1" t="n"/>
      <c r="AJ15" s="1" t="n"/>
      <c r="AK15" s="1" t="n"/>
      <c r="AL15" s="1" t="n"/>
      <c r="AM15" s="1" t="n"/>
      <c r="AN15" s="1" t="n"/>
      <c r="AO15">
        <f>COUNTIFS(加電履歴!$F:$F,A15,加電履歴!$E:$E,"JAリスト")</f>
        <v/>
      </c>
      <c r="AP15" s="10">
        <f>IFERROR(IF(COUNTIFS(加電履歴!$F:$F,A15,加電履歴!$E:$E,"JAリスト")=0,"",MAXIFS(加電履歴!$B:$B,加電履歴!$F:$F,A15,加電履歴!$E:$E,"JAリスト")),"")</f>
        <v/>
      </c>
      <c r="AQ15">
        <f>IFERROR(IF(COUNTIFS(加電履歴!$F:$F,A15,加電履歴!$E:$E,"JAリスト")=0,"",INDEX(加電履歴!$I:$I,MATCH(1,(加電履歴!$F:$F=A15)*(加電履歴!$E:$E="JAリスト")*(加電履歴!$B:$B=MAXIFS(加電履歴!$B:$B,加電履歴!$F:$F,A15,加電履歴!$E:$E,"JAリスト")),0))),"")</f>
        <v/>
      </c>
    </row>
    <row r="16" ht="12.5" customHeight="1">
      <c r="A16" s="13" t="inlineStr">
        <is>
          <t>JA新おたる</t>
        </is>
      </c>
      <c r="B16" s="12" t="inlineStr">
        <is>
          <t>https://ja-sinotaru.jp/</t>
        </is>
      </c>
      <c r="C16" s="13" t="inlineStr">
        <is>
          <t>北海道余市郡仁木町北町3丁目4番地 (〒048-2493)</t>
        </is>
      </c>
      <c r="D16" s="13" t="inlineStr">
        <is>
          <t>0135-32-2428</t>
        </is>
      </c>
      <c r="E16" s="1" t="inlineStr">
        <is>
          <t>さくらんぼ、ぶどう、トマト。</t>
        </is>
      </c>
      <c r="F16" s="1" t="inlineStr">
        <is>
          <t>観光農園としての側面もあり、接客や直売所対応ができる人材が必要。</t>
        </is>
      </c>
      <c r="G16" s="1" t="inlineStr">
        <is>
          <t>語学教育のバックグラウンドを活かし、日本語コミュニケーションが可能な人材のスクリーニングを提案。</t>
        </is>
      </c>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inlineStr">
        <is>
          <t>BREXA CrossBorder</t>
        </is>
      </c>
      <c r="AH16" s="1" t="inlineStr">
        <is>
          <t>武田 悦郎</t>
        </is>
      </c>
      <c r="AI16" s="1" t="n"/>
      <c r="AJ16" s="1" t="n"/>
      <c r="AK16" s="1" t="n"/>
      <c r="AL16" s="1" t="n"/>
      <c r="AM16" s="1" t="n"/>
      <c r="AN16" s="1" t="n"/>
      <c r="AO16">
        <f>COUNTIFS(加電履歴!$F:$F,A16,加電履歴!$E:$E,"JAリスト")</f>
        <v/>
      </c>
      <c r="AP16" s="10">
        <f>IFERROR(IF(COUNTIFS(加電履歴!$F:$F,A16,加電履歴!$E:$E,"JAリスト")=0,"",MAXIFS(加電履歴!$B:$B,加電履歴!$F:$F,A16,加電履歴!$E:$E,"JAリスト")),"")</f>
        <v/>
      </c>
      <c r="AQ16">
        <f>IFERROR(IF(COUNTIFS(加電履歴!$F:$F,A16,加電履歴!$E:$E,"JAリスト")=0,"",INDEX(加電履歴!$I:$I,MATCH(1,(加電履歴!$F:$F=A16)*(加電履歴!$E:$E="JAリスト")*(加電履歴!$B:$B=MAXIFS(加電履歴!$B:$B,加電履歴!$F:$F,A16,加電履歴!$E:$E,"JAリスト")),0))),"")</f>
        <v/>
      </c>
    </row>
    <row r="17" ht="12.5" customHeight="1">
      <c r="A17" s="13" t="inlineStr">
        <is>
          <t>JAたいせつ</t>
        </is>
      </c>
      <c r="B17" s="12" t="inlineStr">
        <is>
          <t>http://www.jataisetu.or.jp/</t>
        </is>
      </c>
      <c r="C17" s="13" t="inlineStr">
        <is>
          <t>北海道旭川市東鷹栖1条3-635-58 (〒071-8101)</t>
        </is>
      </c>
      <c r="D17" s="13" t="inlineStr">
        <is>
          <t>0166-57-2345</t>
        </is>
      </c>
      <c r="E17" s="1" t="inlineStr">
        <is>
          <t>米、大豆、野菜全般。広大な水田地帯。</t>
        </is>
      </c>
      <c r="F17" s="1" t="inlineStr">
        <is>
          <t>雇用型農業への転換期にあり、労務管理のノウハウ不足。</t>
        </is>
      </c>
      <c r="G17" s="1" t="inlineStr">
        <is>
          <t>人材紹介にとどまらず、入国後の労務・生活・語学サポートを一元管理できる安心感をアピール。</t>
        </is>
      </c>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inlineStr">
        <is>
          <t>BREXA CrossBorder</t>
        </is>
      </c>
      <c r="AH17" s="1" t="inlineStr">
        <is>
          <t>武田 悦郎</t>
        </is>
      </c>
      <c r="AI17" s="1" t="n"/>
      <c r="AJ17" s="1" t="n"/>
      <c r="AK17" s="1" t="n"/>
      <c r="AL17" s="1" t="n"/>
      <c r="AM17" s="1" t="n"/>
      <c r="AN17" s="1" t="n"/>
      <c r="AO17">
        <f>COUNTIFS(加電履歴!$F:$F,A17,加電履歴!$E:$E,"JAリスト")</f>
        <v/>
      </c>
      <c r="AP17" s="10">
        <f>IFERROR(IF(COUNTIFS(加電履歴!$F:$F,A17,加電履歴!$E:$E,"JAリスト")=0,"",MAXIFS(加電履歴!$B:$B,加電履歴!$F:$F,A17,加電履歴!$E:$E,"JAリスト")),"")</f>
        <v/>
      </c>
      <c r="AQ17">
        <f>IFERROR(IF(COUNTIFS(加電履歴!$F:$F,A17,加電履歴!$E:$E,"JAリスト")=0,"",INDEX(加電履歴!$I:$I,MATCH(1,(加電履歴!$F:$F=A17)*(加電履歴!$E:$E="JAリスト")*(加電履歴!$B:$B=MAXIFS(加電履歴!$B:$B,加電履歴!$F:$F,A17,加電履歴!$E:$E,"JAリスト")),0))),"")</f>
        <v/>
      </c>
    </row>
    <row r="18" ht="12.5" customHeight="1">
      <c r="A18" s="13" t="inlineStr">
        <is>
          <t>JA東神楽</t>
        </is>
      </c>
      <c r="B18" s="12" t="inlineStr">
        <is>
          <t>https://www.ja-higashikagura.com/</t>
        </is>
      </c>
      <c r="C18" s="13" t="inlineStr">
        <is>
          <t>北海道上川郡東神楽町</t>
        </is>
      </c>
      <c r="D18" s="13" t="inlineStr">
        <is>
          <t>0166-83-2321 (本所代表) / 0166-83-2322 (金融課)</t>
        </is>
      </c>
      <c r="E18" s="1" t="inlineStr">
        <is>
          <t>米、アスパラガス、ほうれん草。</t>
        </is>
      </c>
      <c r="F18" s="1" t="inlineStr">
        <is>
          <t>都市化が進む一方、農地維持のための労働力が不足。</t>
        </is>
      </c>
      <c r="G18" s="1" t="inlineStr">
        <is>
          <t>完全成果報酬で導入リスクを抑えつつ、都市部へのアクセスの良さを活かした定着率をアピール。</t>
        </is>
      </c>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inlineStr">
        <is>
          <t>BREXA CrossBorder</t>
        </is>
      </c>
      <c r="AH18" s="1" t="inlineStr">
        <is>
          <t>武田 悦郎</t>
        </is>
      </c>
      <c r="AI18" s="1" t="n"/>
      <c r="AJ18" s="1" t="n"/>
      <c r="AK18" s="1" t="n"/>
      <c r="AL18" s="1" t="n"/>
      <c r="AM18" s="1" t="n"/>
      <c r="AN18" s="1" t="n"/>
      <c r="AO18">
        <f>COUNTIFS(加電履歴!$F:$F,A18,加電履歴!$E:$E,"JAリスト")</f>
        <v/>
      </c>
      <c r="AP18" s="10">
        <f>IFERROR(IF(COUNTIFS(加電履歴!$F:$F,A18,加電履歴!$E:$E,"JAリスト")=0,"",MAXIFS(加電履歴!$B:$B,加電履歴!$F:$F,A18,加電履歴!$E:$E,"JAリスト")),"")</f>
        <v/>
      </c>
      <c r="AQ18">
        <f>IFERROR(IF(COUNTIFS(加電履歴!$F:$F,A18,加電履歴!$E:$E,"JAリスト")=0,"",INDEX(加電履歴!$I:$I,MATCH(1,(加電履歴!$F:$F=A18)*(加電履歴!$E:$E="JAリスト")*(加電履歴!$B:$B=MAXIFS(加電履歴!$B:$B,加電履歴!$F:$F,A18,加電履歴!$E:$E,"JAリスト")),0))),"")</f>
        <v/>
      </c>
    </row>
    <row r="19" ht="12.5" customHeight="1">
      <c r="A19" s="13" t="inlineStr">
        <is>
          <t>JAひがしかわ</t>
        </is>
      </c>
      <c r="B19" s="12" t="inlineStr">
        <is>
          <t>https://www.ja-higashikawa.or.jp/</t>
        </is>
      </c>
      <c r="C19" s="13" t="inlineStr">
        <is>
          <t>北海道上川郡東川町西町1丁目5番1号 (〒071-1495)</t>
        </is>
      </c>
      <c r="D19" s="13" t="inlineStr">
        <is>
          <t>0166-82-5010</t>
        </is>
      </c>
      <c r="E19" s="1" t="inlineStr">
        <is>
          <t>東川米、大雪山の伏流水を活かした野菜。</t>
        </is>
      </c>
      <c r="F19" s="1" t="inlineStr">
        <is>
          <t>国際交流が盛んであり、外国人材に対する心理的ハードルが低い可能性。</t>
        </is>
      </c>
      <c r="G19" s="1" t="inlineStr">
        <is>
          <t>地域の国際化方針に寄り添い、異文化理解講座や日本語教育をセットにした地域共生型人材提案。</t>
        </is>
      </c>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inlineStr">
        <is>
          <t>BREXA CrossBorder</t>
        </is>
      </c>
      <c r="AH19" s="1" t="inlineStr">
        <is>
          <t>武田 悦郎</t>
        </is>
      </c>
      <c r="AI19" s="1" t="n"/>
      <c r="AJ19" s="1" t="n"/>
      <c r="AK19" s="1" t="n"/>
      <c r="AL19" s="1" t="n"/>
      <c r="AM19" s="1" t="n"/>
      <c r="AN19" s="1" t="n"/>
      <c r="AO19">
        <f>COUNTIFS(加電履歴!$F:$F,A19,加電履歴!$E:$E,"JAリスト")</f>
        <v/>
      </c>
      <c r="AP19" s="10">
        <f>IFERROR(IF(COUNTIFS(加電履歴!$F:$F,A19,加電履歴!$E:$E,"JAリスト")=0,"",MAXIFS(加電履歴!$B:$B,加電履歴!$F:$F,A19,加電履歴!$E:$E,"JAリスト")),"")</f>
        <v/>
      </c>
      <c r="AQ19">
        <f>IFERROR(IF(COUNTIFS(加電履歴!$F:$F,A19,加電履歴!$E:$E,"JAリスト")=0,"",INDEX(加電履歴!$I:$I,MATCH(1,(加電履歴!$F:$F=A19)*(加電履歴!$E:$E="JAリスト")*(加電履歴!$B:$B=MAXIFS(加電履歴!$B:$B,加電履歴!$F:$F,A19,加電履歴!$E:$E,"JAリスト")),0))),"")</f>
        <v/>
      </c>
    </row>
    <row r="20" ht="12.5" customHeight="1">
      <c r="A20" s="13" t="inlineStr">
        <is>
          <t>JA当麻</t>
        </is>
      </c>
      <c r="B20" s="12" t="inlineStr">
        <is>
          <t>https://ja-tohma.com/</t>
        </is>
      </c>
      <c r="C20" s="13" t="inlineStr">
        <is>
          <t>北海道上川郡当麻町4条東3丁目4番63号 (〒078-1314)</t>
        </is>
      </c>
      <c r="D20" s="13" t="inlineStr">
        <is>
          <t>0166-84-2121</t>
        </is>
      </c>
      <c r="E20" s="1" t="inlineStr">
        <is>
          <t>でんすけすいか、米、きゅうり。</t>
        </is>
      </c>
      <c r="F20" s="1" t="inlineStr">
        <is>
          <t>ブランドすいかの栽培管理や出荷作業における、丁寧で確実な作業が求められる。</t>
        </is>
      </c>
      <c r="G20" s="1" t="inlineStr">
        <is>
          <t>コミュニケーションエラーを防ぐための独自の語学研修プログラムを強調し、高品質な労働力を提供。</t>
        </is>
      </c>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inlineStr">
        <is>
          <t>BREXA CrossBorder</t>
        </is>
      </c>
      <c r="AH20" s="1" t="inlineStr">
        <is>
          <t>武田 悦郎</t>
        </is>
      </c>
      <c r="AI20" s="1" t="n"/>
      <c r="AJ20" s="1" t="n"/>
      <c r="AK20" s="1" t="n"/>
      <c r="AL20" s="1" t="n"/>
      <c r="AM20" s="1" t="n"/>
      <c r="AN20" s="1" t="n"/>
      <c r="AO20">
        <f>COUNTIFS(加電履歴!$F:$F,A20,加電履歴!$E:$E,"JAリスト")</f>
        <v/>
      </c>
      <c r="AP20" s="10">
        <f>IFERROR(IF(COUNTIFS(加電履歴!$F:$F,A20,加電履歴!$E:$E,"JAリスト")=0,"",MAXIFS(加電履歴!$B:$B,加電履歴!$F:$F,A20,加電履歴!$E:$E,"JAリスト")),"")</f>
        <v/>
      </c>
      <c r="AQ20">
        <f>IFERROR(IF(COUNTIFS(加電履歴!$F:$F,A20,加電履歴!$E:$E,"JAリスト")=0,"",INDEX(加電履歴!$I:$I,MATCH(1,(加電履歴!$F:$F=A20)*(加電履歴!$E:$E="JAリスト")*(加電履歴!$B:$B=MAXIFS(加電履歴!$B:$B,加電履歴!$F:$F,A20,加電履歴!$E:$E,"JAリスト")),0))),"")</f>
        <v/>
      </c>
    </row>
    <row r="21" ht="12.5" customHeight="1">
      <c r="A21" s="13" t="inlineStr">
        <is>
          <t>JA上川中央</t>
        </is>
      </c>
      <c r="B21" s="12" t="inlineStr">
        <is>
          <t>http://www.ja-kamikawa.or.jp/</t>
        </is>
      </c>
      <c r="C21" s="13" t="inlineStr">
        <is>
          <t>北海道上川郡愛別町字本町125番地 (〒078-1495)</t>
        </is>
      </c>
      <c r="D21" s="13" t="inlineStr">
        <is>
          <t>01658-6-5311 (代表) / 01658-6-5312 (金融部)</t>
        </is>
      </c>
      <c r="E21" s="1" t="inlineStr">
        <is>
          <t>きのこ（えのき、まいたけ等）、米。</t>
        </is>
      </c>
      <c r="F21" s="1" t="inlineStr">
        <is>
          <t>きのこ栽培は屋内での通年作業であり、安定した雇用環境があるため定着しやすい。</t>
        </is>
      </c>
      <c r="G21" s="1" t="inlineStr">
        <is>
          <t>通年雇用ができる強みを活かし、特定技能の長期受け入れと補助金連動の無リスク導入を提案。</t>
        </is>
      </c>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inlineStr">
        <is>
          <t>BREXA CrossBorder</t>
        </is>
      </c>
      <c r="AH21" s="1" t="inlineStr">
        <is>
          <t>武田 悦郎</t>
        </is>
      </c>
      <c r="AI21" s="1" t="n"/>
      <c r="AJ21" s="1" t="n"/>
      <c r="AK21" s="1" t="n"/>
      <c r="AL21" s="1" t="n"/>
      <c r="AM21" s="1" t="n"/>
      <c r="AN21" s="1" t="n"/>
      <c r="AO21">
        <f>COUNTIFS(加電履歴!$F:$F,A21,加電履歴!$E:$E,"JAリスト")</f>
        <v/>
      </c>
      <c r="AP21" s="10">
        <f>IFERROR(IF(COUNTIFS(加電履歴!$F:$F,A21,加電履歴!$E:$E,"JAリスト")=0,"",MAXIFS(加電履歴!$B:$B,加電履歴!$F:$F,A21,加電履歴!$E:$E,"JAリスト")),"")</f>
        <v/>
      </c>
      <c r="AQ21">
        <f>IFERROR(IF(COUNTIFS(加電履歴!$F:$F,A21,加電履歴!$E:$E,"JAリスト")=0,"",INDEX(加電履歴!$I:$I,MATCH(1,(加電履歴!$F:$F=A21)*(加電履歴!$E:$E="JAリスト")*(加電履歴!$B:$B=MAXIFS(加電履歴!$B:$B,加電履歴!$F:$F,A21,加電履歴!$E:$E,"JAリスト")),0))),"")</f>
        <v/>
      </c>
    </row>
    <row r="22" ht="12.5" customHeight="1">
      <c r="A22" s="13" t="inlineStr">
        <is>
          <t>JAぴっぷ町</t>
        </is>
      </c>
      <c r="B22" s="12" t="inlineStr">
        <is>
          <t>https://www.ja-pippu.or.jp/</t>
        </is>
      </c>
      <c r="C22" s="13" t="inlineStr">
        <is>
          <t>北海道上川郡比布町西町3-5-14</t>
        </is>
      </c>
      <c r="D22" s="13" t="inlineStr">
        <is>
          <t>0166-85-2121 ※公式サイトで再確認推奨</t>
        </is>
      </c>
      <c r="E22" s="1" t="inlineStr">
        <is>
          <t>いちご、米、千本ねぎ。</t>
        </is>
      </c>
      <c r="F22" s="1" t="inlineStr">
        <is>
          <t>いちご収穫など、腰をかがめる手作業が多く若手人材が急務。</t>
        </is>
      </c>
      <c r="G22" s="1" t="inlineStr">
        <is>
          <t>補助金採択を前提とした完全成果報酬を提示し、まずは小規模な農家からのテスト受け入れを打診。</t>
        </is>
      </c>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inlineStr">
        <is>
          <t>BREXA CrossBorder</t>
        </is>
      </c>
      <c r="AH22" s="1" t="inlineStr">
        <is>
          <t>武田 悦郎</t>
        </is>
      </c>
      <c r="AI22" s="1" t="n"/>
      <c r="AJ22" s="1" t="n"/>
      <c r="AK22" s="1" t="n"/>
      <c r="AL22" s="1" t="n"/>
      <c r="AM22" s="1" t="n"/>
      <c r="AN22" s="1" t="n"/>
      <c r="AO22">
        <f>COUNTIFS(加電履歴!$F:$F,A22,加電履歴!$E:$E,"JAリスト")</f>
        <v/>
      </c>
      <c r="AP22" s="10">
        <f>IFERROR(IF(COUNTIFS(加電履歴!$F:$F,A22,加電履歴!$E:$E,"JAリスト")=0,"",MAXIFS(加電履歴!$B:$B,加電履歴!$F:$F,A22,加電履歴!$E:$E,"JAリスト")),"")</f>
        <v/>
      </c>
      <c r="AQ22">
        <f>IFERROR(IF(COUNTIFS(加電履歴!$F:$F,A22,加電履歴!$E:$E,"JAリスト")=0,"",INDEX(加電履歴!$I:$I,MATCH(1,(加電履歴!$F:$F=A22)*(加電履歴!$E:$E="JAリスト")*(加電履歴!$B:$B=MAXIFS(加電履歴!$B:$B,加電履歴!$F:$F,A22,加電履歴!$E:$E,"JAリスト")),0))),"")</f>
        <v/>
      </c>
    </row>
    <row r="23" ht="12.5" customHeight="1">
      <c r="A23" s="1" t="inlineStr">
        <is>
          <t>JA北ひびき</t>
        </is>
      </c>
      <c r="C23" s="1" t="inlineStr">
        <is>
          <t>士別市</t>
        </is>
      </c>
      <c r="D23" s="1" t="inlineStr">
        <is>
          <t>0165-23-2179</t>
        </is>
      </c>
      <c r="E23" s="1" t="inlineStr">
        <is>
          <t>アスパラガス、メロン、ビート、小麦。</t>
        </is>
      </c>
      <c r="F23" s="1" t="inlineStr">
        <is>
          <t>作付面積の拡大に伴い、機械操作補助や収穫・運搬の担い手が不足。</t>
        </is>
      </c>
      <c r="G23" s="1" t="inlineStr">
        <is>
          <t>語学教育と人材紹介のセット提案により、機械操作の安全指導がスムーズに行える点をアピール。</t>
        </is>
      </c>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inlineStr">
        <is>
          <t>BREXA CrossBorder</t>
        </is>
      </c>
      <c r="AH23" s="1" t="inlineStr">
        <is>
          <t>武田 悦郎</t>
        </is>
      </c>
      <c r="AI23" s="1" t="n"/>
      <c r="AJ23" s="1" t="n"/>
      <c r="AK23" s="1" t="n"/>
      <c r="AL23" s="1" t="n"/>
      <c r="AM23" s="1" t="n"/>
      <c r="AN23" s="1" t="n"/>
      <c r="AO23">
        <f>COUNTIFS(加電履歴!$F:$F,A23,加電履歴!$E:$E,"JAリスト")</f>
        <v/>
      </c>
      <c r="AP23" s="10">
        <f>IFERROR(IF(COUNTIFS(加電履歴!$F:$F,A23,加電履歴!$E:$E,"JAリスト")=0,"",MAXIFS(加電履歴!$B:$B,加電履歴!$F:$F,A23,加電履歴!$E:$E,"JAリスト")),"")</f>
        <v/>
      </c>
      <c r="AQ23">
        <f>IFERROR(IF(COUNTIFS(加電履歴!$F:$F,A23,加電履歴!$E:$E,"JAリスト")=0,"",INDEX(加電履歴!$I:$I,MATCH(1,(加電履歴!$F:$F=A23)*(加電履歴!$E:$E="JAリスト")*(加電履歴!$B:$B=MAXIFS(加電履歴!$B:$B,加電履歴!$F:$F,A23,加電履歴!$E:$E,"JAリスト")),0))),"")</f>
        <v/>
      </c>
    </row>
    <row r="24" ht="12.5" customHeight="1">
      <c r="A24" s="13" t="inlineStr">
        <is>
          <t>JA道北なよろ (旧JA名寄)</t>
        </is>
      </c>
      <c r="B24" s="12" t="inlineStr">
        <is>
          <t>https://www.ja-douhokunayoro.or.jp/</t>
        </is>
      </c>
      <c r="C24" s="13" t="inlineStr">
        <is>
          <t>北海道名寄市大通南4丁目10番地1 ※本所</t>
        </is>
      </c>
      <c r="D24" s="13" t="inlineStr">
        <is>
          <t>01654-2-4531</t>
        </is>
      </c>
      <c r="E24" s="1" t="inlineStr">
        <is>
          <t>もち米（作付面積日本一）、アスパラ。</t>
        </is>
      </c>
      <c r="F24" s="1" t="inlineStr">
        <is>
          <t>オペレーター補助や、アスパラの早朝収穫の担い手不足。</t>
        </is>
      </c>
      <c r="G24" s="1" t="inlineStr">
        <is>
          <t>朝早くからの作業にも対応できる人材紹介と、手厚いメンタル・生活サポート体制を強調。</t>
        </is>
      </c>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inlineStr">
        <is>
          <t>BREXA CrossBorder</t>
        </is>
      </c>
      <c r="AH24" s="1" t="inlineStr">
        <is>
          <t>武田 悦郎</t>
        </is>
      </c>
      <c r="AI24" s="1" t="n"/>
      <c r="AJ24" s="1" t="n"/>
      <c r="AK24" s="1" t="n"/>
      <c r="AL24" s="1" t="n"/>
      <c r="AM24" s="1" t="n"/>
      <c r="AN24" s="1" t="n"/>
      <c r="AO24">
        <f>COUNTIFS(加電履歴!$F:$F,A24,加電履歴!$E:$E,"JAリスト")</f>
        <v/>
      </c>
      <c r="AP24" s="10">
        <f>IFERROR(IF(COUNTIFS(加電履歴!$F:$F,A24,加電履歴!$E:$E,"JAリスト")=0,"",MAXIFS(加電履歴!$B:$B,加電履歴!$F:$F,A24,加電履歴!$E:$E,"JAリスト")),"")</f>
        <v/>
      </c>
      <c r="AQ24">
        <f>IFERROR(IF(COUNTIFS(加電履歴!$F:$F,A24,加電履歴!$E:$E,"JAリスト")=0,"",INDEX(加電履歴!$I:$I,MATCH(1,(加電履歴!$F:$F=A24)*(加電履歴!$E:$E="JAリスト")*(加電履歴!$B:$B=MAXIFS(加電履歴!$B:$B,加電履歴!$F:$F,A24,加電履歴!$E:$E,"JAリスト")),0))),"")</f>
        <v/>
      </c>
    </row>
    <row r="25" ht="12.5" customHeight="1">
      <c r="A25" s="13" t="inlineStr">
        <is>
          <t>JA南るもい ※令和3年JAるもいへ合併・現存せず</t>
        </is>
      </c>
      <c r="B25" s="14" t="inlineStr"/>
      <c r="C25" s="13" t="inlineStr">
        <is>
          <t>※統合: JAるもい本所(羽幌町)。連絡先はJAるもい(0164-62-1212系) ※要確認</t>
        </is>
      </c>
      <c r="D25" s="13" t="inlineStr">
        <is>
          <t>※存続: JAるもい</t>
        </is>
      </c>
      <c r="E25" s="1" t="inlineStr">
        <is>
          <t>米、メロン、カボチャ。</t>
        </is>
      </c>
      <c r="F25" s="1" t="inlineStr">
        <is>
          <t>気候を活かした農業だが、過疎化により働き手の絶対数が不足。</t>
        </is>
      </c>
      <c r="G25" s="1" t="inlineStr">
        <is>
          <t>補助金活用により採用コストを圧縮し、過疎地域でも定着を図れるフォロー体制（語学支援等）を提案。</t>
        </is>
      </c>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inlineStr">
        <is>
          <t>BREXA CrossBorder</t>
        </is>
      </c>
      <c r="AH25" s="1" t="inlineStr">
        <is>
          <t>武田 悦郎</t>
        </is>
      </c>
      <c r="AI25" s="1" t="n"/>
      <c r="AJ25" s="1" t="n"/>
      <c r="AK25" s="1" t="n"/>
      <c r="AL25" s="1" t="n"/>
      <c r="AM25" s="1" t="n"/>
      <c r="AN25" s="1" t="n"/>
      <c r="AO25">
        <f>COUNTIFS(加電履歴!$F:$F,A25,加電履歴!$E:$E,"JAリスト")</f>
        <v/>
      </c>
      <c r="AP25" s="10">
        <f>IFERROR(IF(COUNTIFS(加電履歴!$F:$F,A25,加電履歴!$E:$E,"JAリスト")=0,"",MAXIFS(加電履歴!$B:$B,加電履歴!$F:$F,A25,加電履歴!$E:$E,"JAリスト")),"")</f>
        <v/>
      </c>
      <c r="AQ25">
        <f>IFERROR(IF(COUNTIFS(加電履歴!$F:$F,A25,加電履歴!$E:$E,"JAリスト")=0,"",INDEX(加電履歴!$I:$I,MATCH(1,(加電履歴!$F:$F=A25)*(加電履歴!$E:$E="JAリスト")*(加電履歴!$B:$B=MAXIFS(加電履歴!$B:$B,加電履歴!$F:$F,A25,加電履歴!$E:$E,"JAリスト")),0))),"")</f>
        <v/>
      </c>
    </row>
    <row r="26" ht="12.5" customHeight="1">
      <c r="A26" s="13" t="inlineStr">
        <is>
          <t>JAオロロン ※令和3年JAるもいへ合併・現存せず</t>
        </is>
      </c>
      <c r="B26" s="14" t="inlineStr"/>
      <c r="C26" s="13" t="inlineStr">
        <is>
          <t>※統合: JAるもい本所(羽幌町)。羽幌町字南町7-29(JAるもい本所と同位置の可能性)</t>
        </is>
      </c>
      <c r="D26" s="13" t="inlineStr">
        <is>
          <t>※存続: JAるもい</t>
        </is>
      </c>
      <c r="E26" s="1" t="inlineStr">
        <is>
          <t>米、アスパラガス、オロロンメロン。</t>
        </is>
      </c>
      <c r="F26" s="1" t="inlineStr">
        <is>
          <t>沿岸部であり、水産業との複合的な労働力確保のニーズも存在。</t>
        </is>
      </c>
      <c r="G26" s="1" t="inlineStr">
        <is>
          <t>農業だけでなく、地域のニーズに合わせて柔軟に特定技能（飲食料品製造等）の提案枠を広げる。</t>
        </is>
      </c>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inlineStr">
        <is>
          <t>BREXA CrossBorder</t>
        </is>
      </c>
      <c r="AH26" s="1" t="inlineStr">
        <is>
          <t>武田 悦郎</t>
        </is>
      </c>
      <c r="AI26" s="1" t="n"/>
      <c r="AJ26" s="1" t="n"/>
      <c r="AK26" s="1" t="n"/>
      <c r="AL26" s="1" t="n"/>
      <c r="AM26" s="1" t="n"/>
      <c r="AN26" s="1" t="n"/>
      <c r="AO26">
        <f>COUNTIFS(加電履歴!$F:$F,A26,加電履歴!$E:$E,"JAリスト")</f>
        <v/>
      </c>
      <c r="AP26" s="10">
        <f>IFERROR(IF(COUNTIFS(加電履歴!$F:$F,A26,加電履歴!$E:$E,"JAリスト")=0,"",MAXIFS(加電履歴!$B:$B,加電履歴!$F:$F,A26,加電履歴!$E:$E,"JAリスト")),"")</f>
        <v/>
      </c>
      <c r="AQ26">
        <f>IFERROR(IF(COUNTIFS(加電履歴!$F:$F,A26,加電履歴!$E:$E,"JAリスト")=0,"",INDEX(加電履歴!$I:$I,MATCH(1,(加電履歴!$F:$F=A26)*(加電履歴!$E:$E="JAリスト")*(加電履歴!$B:$B=MAXIFS(加電履歴!$B:$B,加電履歴!$F:$F,A26,加電履歴!$E:$E,"JAリスト")),0))),"")</f>
        <v/>
      </c>
    </row>
    <row r="27" ht="12.5" customHeight="1">
      <c r="A27" s="13" t="inlineStr">
        <is>
          <t>JA北宗谷</t>
        </is>
      </c>
      <c r="B27" s="12" t="inlineStr">
        <is>
          <t>https://ja-kitasouya.jp/</t>
        </is>
      </c>
      <c r="C27" s="13" t="inlineStr">
        <is>
          <t>北海道天塩郡豊富町</t>
        </is>
      </c>
      <c r="D27" s="13" t="inlineStr">
        <is>
          <t>0162-82-2112</t>
        </is>
      </c>
      <c r="E27" s="1" t="inlineStr">
        <is>
          <t>広大な牧草地での大規模酪農。</t>
        </is>
      </c>
      <c r="F27" s="1" t="inlineStr">
        <is>
          <t>年中無休の搾乳作業や清掃など、特有の過酷な労働環境による人手不足。</t>
        </is>
      </c>
      <c r="G27" s="1" t="inlineStr">
        <is>
          <t>酪農特化の特定技能紹介と、初期投資ゼロ（完全成果報酬）による経営圧迫の回避を提案。</t>
        </is>
      </c>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inlineStr">
        <is>
          <t>BREXA CrossBorder</t>
        </is>
      </c>
      <c r="AH27" s="1" t="inlineStr">
        <is>
          <t>武田 悦郎</t>
        </is>
      </c>
      <c r="AI27" s="1" t="n"/>
      <c r="AJ27" s="1" t="n"/>
      <c r="AK27" s="1" t="n"/>
      <c r="AL27" s="1" t="n"/>
      <c r="AM27" s="1" t="n"/>
      <c r="AN27" s="1" t="n"/>
      <c r="AO27">
        <f>COUNTIFS(加電履歴!$F:$F,A27,加電履歴!$E:$E,"JAリスト")</f>
        <v/>
      </c>
      <c r="AP27" s="10">
        <f>IFERROR(IF(COUNTIFS(加電履歴!$F:$F,A27,加電履歴!$E:$E,"JAリスト")=0,"",MAXIFS(加電履歴!$B:$B,加電履歴!$F:$F,A27,加電履歴!$E:$E,"JAリスト")),"")</f>
        <v/>
      </c>
      <c r="AQ27">
        <f>IFERROR(IF(COUNTIFS(加電履歴!$F:$F,A27,加電履歴!$E:$E,"JAリスト")=0,"",INDEX(加電履歴!$I:$I,MATCH(1,(加電履歴!$F:$F=A27)*(加電履歴!$E:$E="JAリスト")*(加電履歴!$B:$B=MAXIFS(加電履歴!$B:$B,加電履歴!$F:$F,A27,加電履歴!$E:$E,"JAリスト")),0))),"")</f>
        <v/>
      </c>
    </row>
    <row r="28" ht="12.5" customHeight="1">
      <c r="A28" s="13" t="inlineStr">
        <is>
          <t>JA宗谷南</t>
        </is>
      </c>
      <c r="B28" s="12" t="inlineStr">
        <is>
          <t>http://ja-souyaminami.or.jp/</t>
        </is>
      </c>
      <c r="C28" s="13" t="inlineStr">
        <is>
          <t>北海道枝幸郡枝幸町幸町8121-3 (〒098-5805)</t>
        </is>
      </c>
      <c r="D28" s="13" t="inlineStr">
        <is>
          <t>0163-62-1711</t>
        </is>
      </c>
      <c r="E28" s="1" t="inlineStr">
        <is>
          <t>酪農、肉牛飼育。</t>
        </is>
      </c>
      <c r="F28" s="1" t="inlineStr">
        <is>
          <t>冬季の厳しい気象条件の中での作業となるため、人材のケアが最大の課題。</t>
        </is>
      </c>
      <c r="G28" s="1" t="inlineStr">
        <is>
          <t>入国前のオリエンテーション（雪国での生活指導）や、定期的な日本語でのメンタルケアをアピール。</t>
        </is>
      </c>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inlineStr">
        <is>
          <t>BREXA CrossBorder</t>
        </is>
      </c>
      <c r="AH28" s="1" t="inlineStr">
        <is>
          <t>武田 悦郎</t>
        </is>
      </c>
      <c r="AI28" s="1" t="n"/>
      <c r="AJ28" s="1" t="n"/>
      <c r="AK28" s="1" t="n"/>
      <c r="AL28" s="1" t="n"/>
      <c r="AM28" s="1" t="n"/>
      <c r="AN28" s="1" t="n"/>
      <c r="AO28">
        <f>COUNTIFS(加電履歴!$F:$F,A28,加電履歴!$E:$E,"JAリスト")</f>
        <v/>
      </c>
      <c r="AP28" s="10">
        <f>IFERROR(IF(COUNTIFS(加電履歴!$F:$F,A28,加電履歴!$E:$E,"JAリスト")=0,"",MAXIFS(加電履歴!$B:$B,加電履歴!$F:$F,A28,加電履歴!$E:$E,"JAリスト")),"")</f>
        <v/>
      </c>
      <c r="AQ28">
        <f>IFERROR(IF(COUNTIFS(加電履歴!$F:$F,A28,加電履歴!$E:$E,"JAリスト")=0,"",INDEX(加電履歴!$I:$I,MATCH(1,(加電履歴!$F:$F=A28)*(加電履歴!$E:$E="JAリスト")*(加電履歴!$B:$B=MAXIFS(加電履歴!$B:$B,加電履歴!$F:$F,A28,加電履歴!$E:$E,"JAリスト")),0))),"")</f>
        <v/>
      </c>
    </row>
    <row r="29" ht="12.5" customHeight="1">
      <c r="A29" s="13" t="inlineStr">
        <is>
          <t>JAひがし宗谷 (東宗谷農業協同組合)</t>
        </is>
      </c>
      <c r="B29" s="12" t="inlineStr">
        <is>
          <t>https://www.ja-esoya.com/</t>
        </is>
      </c>
      <c r="C29" s="13" t="inlineStr">
        <is>
          <t>北海道枝幸郡浜頓別町南3条1丁目25番地</t>
        </is>
      </c>
      <c r="D29" s="13" t="inlineStr">
        <is>
          <t>01634-2-2229 (本所) / 01634-2-3366 (金融部)</t>
        </is>
      </c>
      <c r="E29" s="1" t="inlineStr">
        <is>
          <t>酪農中心。</t>
        </is>
      </c>
      <c r="F29" s="1" t="inlineStr">
        <is>
          <t>ヘルパー不足が深刻で、酪農家が休みを取れない状況が続いている。</t>
        </is>
      </c>
      <c r="G29" s="1" t="inlineStr">
        <is>
          <t>労働環境を改善するため、補助金を活用した外国人材の計画的な受け入れスキームを提案。</t>
        </is>
      </c>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inlineStr">
        <is>
          <t>BREXA CrossBorder</t>
        </is>
      </c>
      <c r="AH29" s="1" t="inlineStr">
        <is>
          <t>武田 悦郎</t>
        </is>
      </c>
      <c r="AI29" s="1" t="n"/>
      <c r="AJ29" s="1" t="n"/>
      <c r="AK29" s="1" t="n"/>
      <c r="AL29" s="1" t="n"/>
      <c r="AM29" s="1" t="n"/>
      <c r="AN29" s="1" t="n"/>
      <c r="AO29">
        <f>COUNTIFS(加電履歴!$F:$F,A29,加電履歴!$E:$E,"JAリスト")</f>
        <v/>
      </c>
      <c r="AP29" s="10">
        <f>IFERROR(IF(COUNTIFS(加電履歴!$F:$F,A29,加電履歴!$E:$E,"JAリスト")=0,"",MAXIFS(加電履歴!$B:$B,加電履歴!$F:$F,A29,加電履歴!$E:$E,"JAリスト")),"")</f>
        <v/>
      </c>
      <c r="AQ29">
        <f>IFERROR(IF(COUNTIFS(加電履歴!$F:$F,A29,加電履歴!$E:$E,"JAリスト")=0,"",INDEX(加電履歴!$I:$I,MATCH(1,(加電履歴!$F:$F=A29)*(加電履歴!$E:$E="JAリスト")*(加電履歴!$B:$B=MAXIFS(加電履歴!$B:$B,加電履歴!$F:$F,A29,加電履歴!$E:$E,"JAリスト")),0))),"")</f>
        <v/>
      </c>
    </row>
    <row r="30" ht="12.5" customHeight="1">
      <c r="A30" s="1" t="inlineStr">
        <is>
          <t>JAきたみらい</t>
        </is>
      </c>
      <c r="B30" s="12" t="inlineStr">
        <is>
          <t>https://www.jakitamirai.or.jp/</t>
        </is>
      </c>
      <c r="C30" s="13" t="inlineStr">
        <is>
          <t>北海道北見市中ノ島町1丁目1-8 (〒090-0813)</t>
        </is>
      </c>
      <c r="D30" s="13" t="inlineStr">
        <is>
          <t>0157-32-8777</t>
        </is>
      </c>
      <c r="E30" s="1" t="inlineStr">
        <is>
          <t>玉ねぎ（日本一）、じゃがいも、てんさい。</t>
        </is>
      </c>
      <c r="F30" s="1" t="inlineStr">
        <is>
          <t>玉ねぎ収穫・選別施設における膨大な労働力確保。ピーク時の不足が深刻。</t>
        </is>
      </c>
      <c r="G30" s="1" t="inlineStr">
        <is>
          <t>大規模選果場向けのまとまった人材紹介と、現場リーダー候補に対する日本語教育支援をセット提案。</t>
        </is>
      </c>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inlineStr">
        <is>
          <t>BREXA CrossBorder</t>
        </is>
      </c>
      <c r="AH30" s="1" t="inlineStr">
        <is>
          <t>武田 悦郎</t>
        </is>
      </c>
      <c r="AI30" s="1" t="n"/>
      <c r="AJ30" s="1" t="n"/>
      <c r="AK30" s="1" t="n"/>
      <c r="AL30" s="1" t="n"/>
      <c r="AM30" s="1" t="n"/>
      <c r="AN30" s="1" t="n"/>
      <c r="AO30">
        <f>COUNTIFS(加電履歴!$F:$F,A30,加電履歴!$E:$E,"JAリスト")</f>
        <v/>
      </c>
      <c r="AP30" s="10">
        <f>IFERROR(IF(COUNTIFS(加電履歴!$F:$F,A30,加電履歴!$E:$E,"JAリスト")=0,"",MAXIFS(加電履歴!$B:$B,加電履歴!$F:$F,A30,加電履歴!$E:$E,"JAリスト")),"")</f>
        <v/>
      </c>
      <c r="AQ30">
        <f>IFERROR(IF(COUNTIFS(加電履歴!$F:$F,A30,加電履歴!$E:$E,"JAリスト")=0,"",INDEX(加電履歴!$I:$I,MATCH(1,(加電履歴!$F:$F=A30)*(加電履歴!$E:$E="JAリスト")*(加電履歴!$B:$B=MAXIFS(加電履歴!$B:$B,加電履歴!$F:$F,A30,加電履歴!$E:$E,"JAリスト")),0))),"")</f>
        <v/>
      </c>
    </row>
    <row r="31" ht="12.5" customHeight="1">
      <c r="A31" s="1" t="inlineStr">
        <is>
          <t>JAところ</t>
        </is>
      </c>
      <c r="B31" s="12" t="inlineStr">
        <is>
          <t>https://www.ja-tokoro.or.jp/</t>
        </is>
      </c>
      <c r="C31" s="13" t="inlineStr">
        <is>
          <t>北海道北見市常呂町字常呂608 (〒093-0206)</t>
        </is>
      </c>
      <c r="D31" s="13" t="inlineStr">
        <is>
          <t>0152-54-2121</t>
        </is>
      </c>
      <c r="E31" s="1" t="inlineStr">
        <is>
          <t>玉ねぎ、にんにく、小麦。</t>
        </is>
      </c>
      <c r="F31" s="1" t="inlineStr">
        <is>
          <t>にんにくや玉ねぎの植え付け・収穫における短期集中的な労働需要。</t>
        </is>
      </c>
      <c r="G31" s="1" t="inlineStr">
        <is>
          <t>完全成果報酬型モデルを提示し、コストリスクなしで繁忙期に向けた人員確保の準備を促す。</t>
        </is>
      </c>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inlineStr">
        <is>
          <t>BREXA CrossBorder</t>
        </is>
      </c>
      <c r="AH31" s="1" t="inlineStr">
        <is>
          <t>武田 悦郎</t>
        </is>
      </c>
      <c r="AI31" s="1" t="n"/>
      <c r="AJ31" s="1" t="n"/>
      <c r="AK31" s="1" t="n"/>
      <c r="AL31" s="1" t="n"/>
      <c r="AM31" s="1" t="n"/>
      <c r="AN31" s="1" t="n"/>
      <c r="AO31">
        <f>COUNTIFS(加電履歴!$F:$F,A31,加電履歴!$E:$E,"JAリスト")</f>
        <v/>
      </c>
      <c r="AP31" s="10">
        <f>IFERROR(IF(COUNTIFS(加電履歴!$F:$F,A31,加電履歴!$E:$E,"JAリスト")=0,"",MAXIFS(加電履歴!$B:$B,加電履歴!$F:$F,A31,加電履歴!$E:$E,"JAリスト")),"")</f>
        <v/>
      </c>
      <c r="AQ31">
        <f>IFERROR(IF(COUNTIFS(加電履歴!$F:$F,A31,加電履歴!$E:$E,"JAリスト")=0,"",INDEX(加電履歴!$I:$I,MATCH(1,(加電履歴!$F:$F=A31)*(加電履歴!$E:$E="JAリスト")*(加電履歴!$B:$B=MAXIFS(加電履歴!$B:$B,加電履歴!$F:$F,A31,加電履歴!$E:$E,"JAリスト")),0))),"")</f>
        <v/>
      </c>
    </row>
    <row r="32" ht="12.5" customHeight="1">
      <c r="A32" s="1" t="inlineStr">
        <is>
          <t>JAめまんべつ</t>
        </is>
      </c>
      <c r="B32" s="12" t="inlineStr">
        <is>
          <t>https://www.ja-memanbetsu.jp/</t>
        </is>
      </c>
      <c r="C32" s="13" t="inlineStr">
        <is>
          <t>北海道網走郡大空町女満別西4条5丁目1-27 (〒099-2324)</t>
        </is>
      </c>
      <c r="D32" s="13" t="inlineStr">
        <is>
          <t>0152-74-2131</t>
        </is>
      </c>
      <c r="E32" s="1" t="inlineStr">
        <is>
          <t>麦、ビート、じゃがいも、長いも。</t>
        </is>
      </c>
      <c r="F32" s="1" t="inlineStr">
        <is>
          <t>長いもの収穫など重労働が多く、体力のある若手人材の確保が必須。</t>
        </is>
      </c>
      <c r="G32" s="1" t="inlineStr">
        <is>
          <t>生活サポートや日本語教育を通じて、若手人材が地域社会に馴染みやすくする独自の支援体制をアピール。</t>
        </is>
      </c>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inlineStr">
        <is>
          <t>BREXA CrossBorder</t>
        </is>
      </c>
      <c r="AH32" s="1" t="inlineStr">
        <is>
          <t>武田 悦郎</t>
        </is>
      </c>
      <c r="AI32" s="1" t="n"/>
      <c r="AJ32" s="1" t="n"/>
      <c r="AK32" s="1" t="n"/>
      <c r="AL32" s="1" t="n"/>
      <c r="AM32" s="1" t="n"/>
      <c r="AN32" s="1" t="n"/>
      <c r="AO32">
        <f>COUNTIFS(加電履歴!$F:$F,A32,加電履歴!$E:$E,"JAリスト")</f>
        <v/>
      </c>
      <c r="AP32" s="10">
        <f>IFERROR(IF(COUNTIFS(加電履歴!$F:$F,A32,加電履歴!$E:$E,"JAリスト")=0,"",MAXIFS(加電履歴!$B:$B,加電履歴!$F:$F,A32,加電履歴!$E:$E,"JAリスト")),"")</f>
        <v/>
      </c>
      <c r="AQ32">
        <f>IFERROR(IF(COUNTIFS(加電履歴!$F:$F,A32,加電履歴!$E:$E,"JAリスト")=0,"",INDEX(加電履歴!$I:$I,MATCH(1,(加電履歴!$F:$F=A32)*(加電履歴!$E:$E="JAリスト")*(加電履歴!$B:$B=MAXIFS(加電履歴!$B:$B,加電履歴!$F:$F,A32,加電履歴!$E:$E,"JAリスト")),0))),"")</f>
        <v/>
      </c>
    </row>
    <row r="33" ht="12.5" customHeight="1">
      <c r="A33" s="1" t="inlineStr">
        <is>
          <t>JAびほろ</t>
        </is>
      </c>
      <c r="B33" s="12" t="inlineStr">
        <is>
          <t>https://www.ja-bihoro.or.jp/</t>
        </is>
      </c>
      <c r="C33" s="13" t="inlineStr">
        <is>
          <t>北海道網走郡美幌町字青山南30番地1 (〒092-8651)</t>
        </is>
      </c>
      <c r="D33" s="13" t="inlineStr">
        <is>
          <t>0152-72-1111</t>
        </is>
      </c>
      <c r="E33" s="1" t="inlineStr">
        <is>
          <t>玉ねぎ、じゃがいも、ビート。</t>
        </is>
      </c>
      <c r="F33" s="1" t="inlineStr">
        <is>
          <t>大規模機械化が進むが、機械で代替できない選別作業等の人手が必要。</t>
        </is>
      </c>
      <c r="G33" s="1" t="inlineStr">
        <is>
          <t>指示の理解度を高めるための「やさしい日本語講座」を提供し、作業効率の低下を防ぐ支援を強調。</t>
        </is>
      </c>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inlineStr">
        <is>
          <t>BREXA CrossBorder</t>
        </is>
      </c>
      <c r="AH33" s="1" t="inlineStr">
        <is>
          <t>武田 悦郎</t>
        </is>
      </c>
      <c r="AI33" s="1" t="n"/>
      <c r="AJ33" s="1" t="n"/>
      <c r="AK33" s="1" t="n"/>
      <c r="AL33" s="1" t="n"/>
      <c r="AM33" s="1" t="n"/>
      <c r="AN33" s="1" t="n"/>
      <c r="AO33">
        <f>COUNTIFS(加電履歴!$F:$F,A33,加電履歴!$E:$E,"JAリスト")</f>
        <v/>
      </c>
      <c r="AP33" s="10">
        <f>IFERROR(IF(COUNTIFS(加電履歴!$F:$F,A33,加電履歴!$E:$E,"JAリスト")=0,"",MAXIFS(加電履歴!$B:$B,加電履歴!$F:$F,A33,加電履歴!$E:$E,"JAリスト")),"")</f>
        <v/>
      </c>
      <c r="AQ33">
        <f>IFERROR(IF(COUNTIFS(加電履歴!$F:$F,A33,加電履歴!$E:$E,"JAリスト")=0,"",INDEX(加電履歴!$I:$I,MATCH(1,(加電履歴!$F:$F=A33)*(加電履歴!$E:$E="JAリスト")*(加電履歴!$B:$B=MAXIFS(加電履歴!$B:$B,加電履歴!$F:$F,A33,加電履歴!$E:$E,"JAリスト")),0))),"")</f>
        <v/>
      </c>
    </row>
    <row r="34" ht="12.5" customHeight="1">
      <c r="A34" s="1" t="inlineStr">
        <is>
          <t>JAつべつ</t>
        </is>
      </c>
      <c r="B34" s="12" t="inlineStr">
        <is>
          <t>https://www.jatsubetsu.or.jp/</t>
        </is>
      </c>
      <c r="C34" s="13" t="inlineStr">
        <is>
          <t>北海道網走郡津別町字大通30番地1 (〒092-0231)</t>
        </is>
      </c>
      <c r="D34" s="13" t="inlineStr">
        <is>
          <t>0152-76-3322</t>
        </is>
      </c>
      <c r="E34" s="1" t="inlineStr">
        <is>
          <t>アスパラガス、じゃがいも、酪農。</t>
        </is>
      </c>
      <c r="F34" s="1" t="inlineStr">
        <is>
          <t>畑作と酪農が混在し、農家によって求める人材のスキルセットが異なる。</t>
        </is>
      </c>
      <c r="G34" s="1" t="inlineStr">
        <is>
          <t>人材紹介の専門性を活かした緻密なマッチングと、補助金申請サポートによる安心感を提供。</t>
        </is>
      </c>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inlineStr">
        <is>
          <t>BREXA CrossBorder</t>
        </is>
      </c>
      <c r="AH34" s="1" t="inlineStr">
        <is>
          <t>武田 悦郎</t>
        </is>
      </c>
      <c r="AI34" s="1" t="n"/>
      <c r="AJ34" s="1" t="n"/>
      <c r="AK34" s="1" t="n"/>
      <c r="AL34" s="1" t="n"/>
      <c r="AM34" s="1" t="n"/>
      <c r="AN34" s="1" t="n"/>
      <c r="AO34">
        <f>COUNTIFS(加電履歴!$F:$F,A34,加電履歴!$E:$E,"JAリスト")</f>
        <v/>
      </c>
      <c r="AP34" s="10">
        <f>IFERROR(IF(COUNTIFS(加電履歴!$F:$F,A34,加電履歴!$E:$E,"JAリスト")=0,"",MAXIFS(加電履歴!$B:$B,加電履歴!$F:$F,A34,加電履歴!$E:$E,"JAリスト")),"")</f>
        <v/>
      </c>
      <c r="AQ34">
        <f>IFERROR(IF(COUNTIFS(加電履歴!$F:$F,A34,加電履歴!$E:$E,"JAリスト")=0,"",INDEX(加電履歴!$I:$I,MATCH(1,(加電履歴!$F:$F=A34)*(加電履歴!$E:$E="JAリスト")*(加電履歴!$B:$B=MAXIFS(加電履歴!$B:$B,加電履歴!$F:$F,A34,加電履歴!$E:$E,"JAリスト")),0))),"")</f>
        <v/>
      </c>
    </row>
    <row r="35" ht="12.5" customHeight="1">
      <c r="A35" s="13" t="inlineStr">
        <is>
          <t>JAしれとこ斜里 (旧JA斜里町)</t>
        </is>
      </c>
      <c r="B35" s="12" t="inlineStr">
        <is>
          <t>https://ja-shiretokoshari.or.jp/</t>
        </is>
      </c>
      <c r="C35" s="13" t="inlineStr">
        <is>
          <t>北海道斜里郡斜里町本町36-1 (〒099-4195)</t>
        </is>
      </c>
      <c r="D35" s="13" t="inlineStr">
        <is>
          <t>0152-23-3151</t>
        </is>
      </c>
      <c r="E35" s="1" t="inlineStr">
        <is>
          <t>じゃがいも、てんさい、にんじん。</t>
        </is>
      </c>
      <c r="F35" s="1" t="inlineStr">
        <is>
          <t>知床の厳しい自然環境下での大規模農業。収穫期の選果場労働力がボトルネック。</t>
        </is>
      </c>
      <c r="G35" s="1" t="inlineStr">
        <is>
          <t>手厚い生活指導と語学サポートにより、地方の環境でも孤立させない定着支援プログラムを提案。</t>
        </is>
      </c>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inlineStr">
        <is>
          <t>BREXA CrossBorder</t>
        </is>
      </c>
      <c r="AH35" s="1" t="inlineStr">
        <is>
          <t>武田 悦郎</t>
        </is>
      </c>
      <c r="AI35" s="1" t="n"/>
      <c r="AJ35" s="1" t="n"/>
      <c r="AK35" s="1" t="n"/>
      <c r="AL35" s="1" t="n"/>
      <c r="AM35" s="1" t="n"/>
      <c r="AN35" s="1" t="n"/>
      <c r="AO35">
        <f>COUNTIFS(加電履歴!$F:$F,A35,加電履歴!$E:$E,"JAリスト")</f>
        <v/>
      </c>
      <c r="AP35" s="10">
        <f>IFERROR(IF(COUNTIFS(加電履歴!$F:$F,A35,加電履歴!$E:$E,"JAリスト")=0,"",MAXIFS(加電履歴!$B:$B,加電履歴!$F:$F,A35,加電履歴!$E:$E,"JAリスト")),"")</f>
        <v/>
      </c>
      <c r="AQ35">
        <f>IFERROR(IF(COUNTIFS(加電履歴!$F:$F,A35,加電履歴!$E:$E,"JAリスト")=0,"",INDEX(加電履歴!$I:$I,MATCH(1,(加電履歴!$F:$F=A35)*(加電履歴!$E:$E="JAリスト")*(加電履歴!$B:$B=MAXIFS(加電履歴!$B:$B,加電履歴!$F:$F,A35,加電履歴!$E:$E,"JAリスト")),0))),"")</f>
        <v/>
      </c>
    </row>
    <row r="36" ht="12.5" customHeight="1">
      <c r="A36" s="1" t="inlineStr">
        <is>
          <t>JA清里町</t>
        </is>
      </c>
      <c r="B36" s="12" t="inlineStr">
        <is>
          <t>https://ja-kiyosato.or.jp/</t>
        </is>
      </c>
      <c r="C36" s="13" t="inlineStr">
        <is>
          <t>北海道斜里郡清里町羽衣町2 (〒099-4405)</t>
        </is>
      </c>
      <c r="D36" s="13" t="inlineStr">
        <is>
          <t>0152-25-2212</t>
        </is>
      </c>
      <c r="E36" s="1" t="inlineStr">
        <is>
          <t>じゃがいも（焼酎原料含む）、小麦。</t>
        </is>
      </c>
      <c r="F36" s="1" t="inlineStr">
        <is>
          <t>焼酎工場などの加工施設連携もあり、農作業以外の関連業務への波及効果も。</t>
        </is>
      </c>
      <c r="G36" s="1" t="inlineStr">
        <is>
          <t>補助金採択を前提とした完全成果報酬で、組合を通じた地域全体の労働力底上げを打診する。</t>
        </is>
      </c>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inlineStr">
        <is>
          <t>BREXA CrossBorder</t>
        </is>
      </c>
      <c r="AH36" s="1" t="inlineStr">
        <is>
          <t>武田 悦郎</t>
        </is>
      </c>
      <c r="AI36" s="1" t="n"/>
      <c r="AJ36" s="1" t="n"/>
      <c r="AK36" s="1" t="n"/>
      <c r="AL36" s="1" t="n"/>
      <c r="AM36" s="1" t="n"/>
      <c r="AN36" s="1" t="n"/>
      <c r="AO36">
        <f>COUNTIFS(加電履歴!$F:$F,A36,加電履歴!$E:$E,"JAリスト")</f>
        <v/>
      </c>
      <c r="AP36" s="10">
        <f>IFERROR(IF(COUNTIFS(加電履歴!$F:$F,A36,加電履歴!$E:$E,"JAリスト")=0,"",MAXIFS(加電履歴!$B:$B,加電履歴!$F:$F,A36,加電履歴!$E:$E,"JAリスト")),"")</f>
        <v/>
      </c>
      <c r="AQ36">
        <f>IFERROR(IF(COUNTIFS(加電履歴!$F:$F,A36,加電履歴!$E:$E,"JAリスト")=0,"",INDEX(加電履歴!$I:$I,MATCH(1,(加電履歴!$F:$F=A36)*(加電履歴!$E:$E="JAリスト")*(加電履歴!$B:$B=MAXIFS(加電履歴!$B:$B,加電履歴!$F:$F,A36,加電履歴!$E:$E,"JAリスト")),0))),"")</f>
        <v/>
      </c>
    </row>
    <row r="37" ht="12.5" customHeight="1">
      <c r="A37" s="1" t="inlineStr">
        <is>
          <t>JAこしみず</t>
        </is>
      </c>
      <c r="B37" s="12" t="inlineStr">
        <is>
          <t>https://ja-koshimizu.jp/</t>
        </is>
      </c>
      <c r="C37" s="13" t="inlineStr">
        <is>
          <t>北海道斜里郡小清水町南町1-5-27</t>
        </is>
      </c>
      <c r="D37" s="13" t="inlineStr">
        <is>
          <t>0152-62-2111</t>
        </is>
      </c>
      <c r="E37" s="1" t="inlineStr">
        <is>
          <t>じゃがいも、小麦、てんさい。</t>
        </is>
      </c>
      <c r="F37" s="1" t="inlineStr">
        <is>
          <t>大規模畑作地帯におけるトラクターオペレーター不足と収穫補助員の人材難。</t>
        </is>
      </c>
      <c r="G37" s="1" t="inlineStr">
        <is>
          <t>安全な作業を実現するための語学・コミュニケーション教育の専門性を、他社にはない強みとしてアピール。</t>
        </is>
      </c>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inlineStr">
        <is>
          <t>BREXA CrossBorder</t>
        </is>
      </c>
      <c r="AH37" s="1" t="inlineStr">
        <is>
          <t>武田 悦郎</t>
        </is>
      </c>
      <c r="AI37" s="1" t="n"/>
      <c r="AJ37" s="1" t="n"/>
      <c r="AK37" s="1" t="n"/>
      <c r="AL37" s="1" t="n"/>
      <c r="AM37" s="1" t="n"/>
      <c r="AN37" s="1" t="n"/>
      <c r="AO37">
        <f>COUNTIFS(加電履歴!$F:$F,A37,加電履歴!$E:$E,"JAリスト")</f>
        <v/>
      </c>
      <c r="AP37" s="10">
        <f>IFERROR(IF(COUNTIFS(加電履歴!$F:$F,A37,加電履歴!$E:$E,"JAリスト")=0,"",MAXIFS(加電履歴!$B:$B,加電履歴!$F:$F,A37,加電履歴!$E:$E,"JAリスト")),"")</f>
        <v/>
      </c>
      <c r="AQ37">
        <f>IFERROR(IF(COUNTIFS(加電履歴!$F:$F,A37,加電履歴!$E:$E,"JAリスト")=0,"",INDEX(加電履歴!$I:$I,MATCH(1,(加電履歴!$F:$F=A37)*(加電履歴!$E:$E="JAリスト")*(加電履歴!$B:$B=MAXIFS(加電履歴!$B:$B,加電履歴!$F:$F,A37,加電履歴!$E:$E,"JAリスト")),0))),"")</f>
        <v/>
      </c>
    </row>
    <row r="38" ht="12.5" customHeight="1">
      <c r="A38" s="1" t="inlineStr">
        <is>
          <t>JAえんゆう</t>
        </is>
      </c>
      <c r="B38" s="12" t="inlineStr">
        <is>
          <t>https://www.ja-enyu.com/</t>
        </is>
      </c>
      <c r="C38" s="13" t="inlineStr">
        <is>
          <t>北海道紋別郡湧別町上湧別屯田市街地230番地 (〒099-6501) ※本所</t>
        </is>
      </c>
      <c r="D38" s="13" t="inlineStr">
        <is>
          <t>01586-2-2161</t>
        </is>
      </c>
      <c r="E38" s="1" t="inlineStr">
        <is>
          <t>玉ねぎ、アスパラガス、酪農。</t>
        </is>
      </c>
      <c r="F38" s="1" t="inlineStr">
        <is>
          <t>広域合併による大規模JAであり、管内での労働力の偏りや一括した採用管理が課題。</t>
        </is>
      </c>
      <c r="G38" s="1" t="inlineStr">
        <is>
          <t>JA本所を一括窓口とした、補助金申請から日本語教育、定着支援までをパッケージ化した総合提案。</t>
        </is>
      </c>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inlineStr">
        <is>
          <t>BREXA CrossBorder</t>
        </is>
      </c>
      <c r="AH38" s="1" t="inlineStr">
        <is>
          <t>武田 悦郎</t>
        </is>
      </c>
      <c r="AI38" s="1" t="n"/>
      <c r="AJ38" s="1" t="n"/>
      <c r="AK38" s="1" t="n"/>
      <c r="AL38" s="1" t="n"/>
      <c r="AM38" s="1" t="n"/>
      <c r="AN38" s="1" t="n"/>
      <c r="AO38">
        <f>COUNTIFS(加電履歴!$F:$F,A38,加電履歴!$E:$E,"JAリスト")</f>
        <v/>
      </c>
      <c r="AP38" s="10">
        <f>IFERROR(IF(COUNTIFS(加電履歴!$F:$F,A38,加電履歴!$E:$E,"JAリスト")=0,"",MAXIFS(加電履歴!$B:$B,加電履歴!$F:$F,A38,加電履歴!$E:$E,"JAリスト")),"")</f>
        <v/>
      </c>
      <c r="AQ38">
        <f>IFERROR(IF(COUNTIFS(加電履歴!$F:$F,A38,加電履歴!$E:$E,"JAリスト")=0,"",INDEX(加電履歴!$I:$I,MATCH(1,(加電履歴!$F:$F=A38)*(加電履歴!$E:$E="JAリスト")*(加電履歴!$B:$B=MAXIFS(加電履歴!$B:$B,加電履歴!$F:$F,A38,加電履歴!$E:$E,"JAリスト")),0))),"")</f>
        <v/>
      </c>
    </row>
    <row r="39" ht="12.5" customHeight="1">
      <c r="A39" s="13" t="inlineStr">
        <is>
          <t>JA帯広かわにし</t>
        </is>
      </c>
      <c r="B39" s="12" t="inlineStr">
        <is>
          <t>https://www.jaobihirokawanisi.or.jp/</t>
        </is>
      </c>
      <c r="C39" s="13" t="inlineStr">
        <is>
          <t>北海道帯広市川西町西2線61番地の1 (〒089-1198)</t>
        </is>
      </c>
      <c r="D39" s="13" t="inlineStr">
        <is>
          <t>0155-59-2111</t>
        </is>
      </c>
      <c r="E39" s="1" t="inlineStr">
        <is>
          <t>長いも（台湾等へ輸出）、じゃがいも。</t>
        </is>
      </c>
      <c r="F39" s="1" t="inlineStr">
        <is>
          <t>輸出向け長いもの徹底した品質管理と、選果場での大規模な人員確保。</t>
        </is>
      </c>
      <c r="G39" s="1" t="inlineStr">
        <is>
          <t>グローバルな視点を持つJAに対し、異文化理解や語学に強い人材紹介スキームを提案。</t>
        </is>
      </c>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inlineStr">
        <is>
          <t>BREXA CrossBorder</t>
        </is>
      </c>
      <c r="AH39" s="1" t="inlineStr">
        <is>
          <t>武田 悦郎</t>
        </is>
      </c>
      <c r="AI39" s="1" t="n"/>
      <c r="AJ39" s="1" t="n"/>
      <c r="AK39" s="1" t="n"/>
      <c r="AL39" s="1" t="n"/>
      <c r="AM39" s="1" t="n"/>
      <c r="AN39" s="1" t="n"/>
      <c r="AO39">
        <f>COUNTIFS(加電履歴!$F:$F,A39,加電履歴!$E:$E,"JAリスト")</f>
        <v/>
      </c>
      <c r="AP39" s="10">
        <f>IFERROR(IF(COUNTIFS(加電履歴!$F:$F,A39,加電履歴!$E:$E,"JAリスト")=0,"",MAXIFS(加電履歴!$B:$B,加電履歴!$F:$F,A39,加電履歴!$E:$E,"JAリスト")),"")</f>
        <v/>
      </c>
      <c r="AQ39">
        <f>IFERROR(IF(COUNTIFS(加電履歴!$F:$F,A39,加電履歴!$E:$E,"JAリスト")=0,"",INDEX(加電履歴!$I:$I,MATCH(1,(加電履歴!$F:$F=A39)*(加電履歴!$E:$E="JAリスト")*(加電履歴!$B:$B=MAXIFS(加電履歴!$B:$B,加電履歴!$F:$F,A39,加電履歴!$E:$E,"JAリスト")),0))),"")</f>
        <v/>
      </c>
    </row>
    <row r="40" ht="12.5" customHeight="1">
      <c r="A40" s="13" t="inlineStr">
        <is>
          <t>JAおびひろ ※2003年JA帯広かわにしへ合併・現存せず</t>
        </is>
      </c>
      <c r="B40" s="14" t="inlineStr"/>
      <c r="C40" s="13" t="inlineStr">
        <is>
          <t>※旧帯広市農協はJA帯広かわにしに統合済み (Row 39参照)</t>
        </is>
      </c>
      <c r="D40" s="13" t="inlineStr">
        <is>
          <t>※存続団体: JA帯広かわにし 0155-59-2111</t>
        </is>
      </c>
      <c r="E40" s="1" t="inlineStr">
        <is>
          <t>畑作全般、酪農。</t>
        </is>
      </c>
      <c r="F40" s="1" t="inlineStr">
        <is>
          <t>都市部と隣接する農業エリアでの、多様な労働力ニーズの混在。</t>
        </is>
      </c>
      <c r="G40" s="1" t="inlineStr">
        <is>
          <t>成果報酬型で導入リスクを排除しつつ、語学教育の知見を応用した独自の日本語サポートを提示。</t>
        </is>
      </c>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inlineStr">
        <is>
          <t>BREXA CrossBorder</t>
        </is>
      </c>
      <c r="AH40" s="1" t="inlineStr">
        <is>
          <t>武田 悦郎</t>
        </is>
      </c>
      <c r="AI40" s="1" t="n"/>
      <c r="AJ40" s="1" t="n"/>
      <c r="AK40" s="1" t="n"/>
      <c r="AL40" s="1" t="n"/>
      <c r="AM40" s="1" t="n"/>
      <c r="AN40" s="1" t="n"/>
      <c r="AO40">
        <f>COUNTIFS(加電履歴!$F:$F,A40,加電履歴!$E:$E,"JAリスト")</f>
        <v/>
      </c>
      <c r="AP40" s="10">
        <f>IFERROR(IF(COUNTIFS(加電履歴!$F:$F,A40,加電履歴!$E:$E,"JAリスト")=0,"",MAXIFS(加電履歴!$B:$B,加電履歴!$F:$F,A40,加電履歴!$E:$E,"JAリスト")),"")</f>
        <v/>
      </c>
      <c r="AQ40">
        <f>IFERROR(IF(COUNTIFS(加電履歴!$F:$F,A40,加電履歴!$E:$E,"JAリスト")=0,"",INDEX(加電履歴!$I:$I,MATCH(1,(加電履歴!$F:$F=A40)*(加電履歴!$E:$E="JAリスト")*(加電履歴!$B:$B=MAXIFS(加電履歴!$B:$B,加電履歴!$F:$F,A40,加電履歴!$E:$E,"JAリスト")),0))),"")</f>
        <v/>
      </c>
    </row>
    <row r="41" ht="12.5" customHeight="1">
      <c r="A41" s="13" t="inlineStr">
        <is>
          <t>JAおとふけ</t>
        </is>
      </c>
      <c r="B41" s="12" t="inlineStr">
        <is>
          <t>https://www.ja-otofuke.jp/</t>
        </is>
      </c>
      <c r="C41" s="13" t="inlineStr">
        <is>
          <t>北海道河東郡音更町大通5丁目1番地 (〒080-0101) ※2024/7移転</t>
        </is>
      </c>
      <c r="D41" s="13" t="inlineStr">
        <is>
          <t>0155-42-8725</t>
        </is>
      </c>
      <c r="E41" s="1" t="inlineStr">
        <is>
          <t>小麦、豆類、てんさい、ブロッコリー。</t>
        </is>
      </c>
      <c r="F41" s="1" t="inlineStr">
        <is>
          <t>作付面積・生産量ともに国内トップクラスであり、圧倒的な数の労働力が必要。</t>
        </is>
      </c>
      <c r="G41" s="1" t="inlineStr">
        <is>
          <t>費用負担を最小化する補助金活用スキームと、手厚い通訳・翻訳サポートを提案。</t>
        </is>
      </c>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inlineStr">
        <is>
          <t>BREXA CrossBorder</t>
        </is>
      </c>
      <c r="AH41" s="1" t="inlineStr">
        <is>
          <t>武田 悦郎</t>
        </is>
      </c>
      <c r="AI41" s="1" t="n"/>
      <c r="AJ41" s="1" t="n"/>
      <c r="AK41" s="1" t="n"/>
      <c r="AL41" s="1" t="n"/>
      <c r="AM41" s="1" t="n"/>
      <c r="AN41" s="1" t="n"/>
      <c r="AO41">
        <f>COUNTIFS(加電履歴!$F:$F,A41,加電履歴!$E:$E,"JAリスト")</f>
        <v/>
      </c>
      <c r="AP41" s="10">
        <f>IFERROR(IF(COUNTIFS(加電履歴!$F:$F,A41,加電履歴!$E:$E,"JAリスト")=0,"",MAXIFS(加電履歴!$B:$B,加電履歴!$F:$F,A41,加電履歴!$E:$E,"JAリスト")),"")</f>
        <v/>
      </c>
      <c r="AQ41">
        <f>IFERROR(IF(COUNTIFS(加電履歴!$F:$F,A41,加電履歴!$E:$E,"JAリスト")=0,"",INDEX(加電履歴!$I:$I,MATCH(1,(加電履歴!$F:$F=A41)*(加電履歴!$E:$E="JAリスト")*(加電履歴!$B:$B=MAXIFS(加電履歴!$B:$B,加電履歴!$F:$F,A41,加電履歴!$E:$E,"JAリスト")),0))),"")</f>
        <v/>
      </c>
    </row>
    <row r="42" ht="12.5" customHeight="1">
      <c r="A42" s="13" t="inlineStr">
        <is>
          <t>JA木野</t>
        </is>
      </c>
      <c r="B42" s="12" t="inlineStr">
        <is>
          <t>https://ja-kino.com/</t>
        </is>
      </c>
      <c r="C42" s="13" t="inlineStr">
        <is>
          <t>北海道河東郡音更町木野大通西7-1</t>
        </is>
      </c>
      <c r="D42" s="13" t="inlineStr">
        <is>
          <t>0155-31-2143</t>
        </is>
      </c>
      <c r="E42" s="1" t="inlineStr">
        <is>
          <t>ブロッコリー、大根、長ねぎ。</t>
        </is>
      </c>
      <c r="F42" s="1" t="inlineStr">
        <is>
          <t>鮮度が重要な野菜の収穫ピーク時における、確実な人員確保。</t>
        </is>
      </c>
      <c r="G42" s="1" t="inlineStr">
        <is>
          <t>語学教育による作業指示の正確な伝達をアピールし、収穫ロスを防ぐ高品質な労働力を提供。</t>
        </is>
      </c>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inlineStr">
        <is>
          <t>BREXA CrossBorder</t>
        </is>
      </c>
      <c r="AH42" s="1" t="inlineStr">
        <is>
          <t>武田 悦郎</t>
        </is>
      </c>
      <c r="AI42" s="1" t="n"/>
      <c r="AJ42" s="1" t="n"/>
      <c r="AK42" s="1" t="n"/>
      <c r="AL42" s="1" t="n"/>
      <c r="AM42" s="1" t="n"/>
      <c r="AN42" s="1" t="n"/>
      <c r="AO42">
        <f>COUNTIFS(加電履歴!$F:$F,A42,加電履歴!$E:$E,"JAリスト")</f>
        <v/>
      </c>
      <c r="AP42" s="10">
        <f>IFERROR(IF(COUNTIFS(加電履歴!$F:$F,A42,加電履歴!$E:$E,"JAリスト")=0,"",MAXIFS(加電履歴!$B:$B,加電履歴!$F:$F,A42,加電履歴!$E:$E,"JAリスト")),"")</f>
        <v/>
      </c>
      <c r="AQ42">
        <f>IFERROR(IF(COUNTIFS(加電履歴!$F:$F,A42,加電履歴!$E:$E,"JAリスト")=0,"",INDEX(加電履歴!$I:$I,MATCH(1,(加電履歴!$F:$F=A42)*(加電履歴!$E:$E="JAリスト")*(加電履歴!$B:$B=MAXIFS(加電履歴!$B:$B,加電履歴!$F:$F,A42,加電履歴!$E:$E,"JAリスト")),0))),"")</f>
        <v/>
      </c>
    </row>
    <row r="43" ht="12.5" customHeight="1">
      <c r="A43" s="13" t="inlineStr">
        <is>
          <t>JA士幌町</t>
        </is>
      </c>
      <c r="B43" s="12" t="inlineStr">
        <is>
          <t>https://www.ja-shihoro.or.jp/</t>
        </is>
      </c>
      <c r="C43" s="13" t="inlineStr">
        <is>
          <t>北海道河東郡士幌町字士幌西2線159番地</t>
        </is>
      </c>
      <c r="D43" s="13" t="inlineStr">
        <is>
          <t>01564-5-2311</t>
        </is>
      </c>
      <c r="E43" s="1" t="inlineStr">
        <is>
          <t>じゃがいも、肉牛、酪農。直営加工施設多数。</t>
        </is>
      </c>
      <c r="F43" s="1" t="inlineStr">
        <is>
          <t>JA直営工場があり、農場だけでなく加工工場での人員不足も深刻。</t>
        </is>
      </c>
      <c r="G43" s="1" t="inlineStr">
        <is>
          <t>農業と飲食料品製造業の双方の特定技能に対応できる点をアピールし、完全成果報酬で提案。</t>
        </is>
      </c>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inlineStr">
        <is>
          <t>BREXA CrossBorder</t>
        </is>
      </c>
      <c r="AH43" s="1" t="inlineStr">
        <is>
          <t>武田 悦郎</t>
        </is>
      </c>
      <c r="AI43" s="1" t="n"/>
      <c r="AJ43" s="1" t="n"/>
      <c r="AK43" s="1" t="n"/>
      <c r="AL43" s="1" t="n"/>
      <c r="AM43" s="1" t="n"/>
      <c r="AN43" s="1" t="n"/>
      <c r="AO43">
        <f>COUNTIFS(加電履歴!$F:$F,A43,加電履歴!$E:$E,"JAリスト")</f>
        <v/>
      </c>
      <c r="AP43" s="10">
        <f>IFERROR(IF(COUNTIFS(加電履歴!$F:$F,A43,加電履歴!$E:$E,"JAリスト")=0,"",MAXIFS(加電履歴!$B:$B,加電履歴!$F:$F,A43,加電履歴!$E:$E,"JAリスト")),"")</f>
        <v/>
      </c>
      <c r="AQ43">
        <f>IFERROR(IF(COUNTIFS(加電履歴!$F:$F,A43,加電履歴!$E:$E,"JAリスト")=0,"",INDEX(加電履歴!$I:$I,MATCH(1,(加電履歴!$F:$F=A43)*(加電履歴!$E:$E="JAリスト")*(加電履歴!$B:$B=MAXIFS(加電履歴!$B:$B,加電履歴!$F:$F,A43,加電履歴!$E:$E,"JAリスト")),0))),"")</f>
        <v/>
      </c>
    </row>
    <row r="44" ht="12.5" customHeight="1">
      <c r="A44" s="13" t="inlineStr">
        <is>
          <t>JA上士幌町</t>
        </is>
      </c>
      <c r="B44" s="12" t="inlineStr">
        <is>
          <t>https://ja-kamishihoro.or.jp/</t>
        </is>
      </c>
      <c r="C44" s="13" t="inlineStr">
        <is>
          <t>北海道河東郡上士幌町字上士幌東2線238 (〒080-1493)</t>
        </is>
      </c>
      <c r="D44" s="13" t="inlineStr">
        <is>
          <t>01564-2-2131</t>
        </is>
      </c>
      <c r="E44" s="1" t="inlineStr">
        <is>
          <t>酪農（ギガファーム多数）、畑作。</t>
        </is>
      </c>
      <c r="F44" s="1" t="inlineStr">
        <is>
          <t>1000頭規模のメガファームが多く、組織的な労務管理と専門的な人材が求められる。</t>
        </is>
      </c>
      <c r="G44" s="1" t="inlineStr">
        <is>
          <t>企業的農業経営を行う農場に対し、人材紹介から日本語教育までワンストップのHRサービスを提供。</t>
        </is>
      </c>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inlineStr">
        <is>
          <t>BREXA CrossBorder</t>
        </is>
      </c>
      <c r="AH44" s="1" t="inlineStr">
        <is>
          <t>武田 悦郎</t>
        </is>
      </c>
      <c r="AI44" s="1" t="n"/>
      <c r="AJ44" s="1" t="n"/>
      <c r="AK44" s="1" t="n"/>
      <c r="AL44" s="1" t="n"/>
      <c r="AM44" s="1" t="n"/>
      <c r="AN44" s="1" t="n"/>
      <c r="AO44">
        <f>COUNTIFS(加電履歴!$F:$F,A44,加電履歴!$E:$E,"JAリスト")</f>
        <v/>
      </c>
      <c r="AP44" s="10">
        <f>IFERROR(IF(COUNTIFS(加電履歴!$F:$F,A44,加電履歴!$E:$E,"JAリスト")=0,"",MAXIFS(加電履歴!$B:$B,加電履歴!$F:$F,A44,加電履歴!$E:$E,"JAリスト")),"")</f>
        <v/>
      </c>
      <c r="AQ44">
        <f>IFERROR(IF(COUNTIFS(加電履歴!$F:$F,A44,加電履歴!$E:$E,"JAリスト")=0,"",INDEX(加電履歴!$I:$I,MATCH(1,(加電履歴!$F:$F=A44)*(加電履歴!$E:$E="JAリスト")*(加電履歴!$B:$B=MAXIFS(加電履歴!$B:$B,加電履歴!$F:$F,A44,加電履歴!$E:$E,"JAリスト")),0))),"")</f>
        <v/>
      </c>
    </row>
    <row r="45" ht="12.5" customHeight="1">
      <c r="A45" s="13" t="inlineStr">
        <is>
          <t>JA鹿追町</t>
        </is>
      </c>
      <c r="B45" s="12" t="inlineStr">
        <is>
          <t>https://www.ja-shikaoi.com/</t>
        </is>
      </c>
      <c r="C45" s="13" t="inlineStr">
        <is>
          <t>北海道河東郡鹿追町新町4丁目51番地 (〒081-0293)</t>
        </is>
      </c>
      <c r="D45" s="13" t="inlineStr">
        <is>
          <t>0156-66-2131</t>
        </is>
      </c>
      <c r="E45" s="1" t="inlineStr">
        <is>
          <t>酪農、てんさい。バイオガスプラント推進。</t>
        </is>
      </c>
      <c r="F45" s="1" t="inlineStr">
        <is>
          <t>環境保全型農業を進める中で、取り組みを理解し真面目に働く人材が必要。</t>
        </is>
      </c>
      <c r="G45" s="1" t="inlineStr">
        <is>
          <t>リスクのない成果報酬型をフックに、生活サポートや異文化理解講座を通じた高い定着率をアピール。</t>
        </is>
      </c>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inlineStr">
        <is>
          <t>BREXA CrossBorder</t>
        </is>
      </c>
      <c r="AH45" s="1" t="inlineStr">
        <is>
          <t>武田 悦郎</t>
        </is>
      </c>
      <c r="AI45" s="1" t="n"/>
      <c r="AJ45" s="1" t="n"/>
      <c r="AK45" s="1" t="n"/>
      <c r="AL45" s="1" t="n"/>
      <c r="AM45" s="1" t="n"/>
      <c r="AN45" s="1" t="n"/>
      <c r="AO45">
        <f>COUNTIFS(加電履歴!$F:$F,A45,加電履歴!$E:$E,"JAリスト")</f>
        <v/>
      </c>
      <c r="AP45" s="10">
        <f>IFERROR(IF(COUNTIFS(加電履歴!$F:$F,A45,加電履歴!$E:$E,"JAリスト")=0,"",MAXIFS(加電履歴!$B:$B,加電履歴!$F:$F,A45,加電履歴!$E:$E,"JAリスト")),"")</f>
        <v/>
      </c>
      <c r="AQ45">
        <f>IFERROR(IF(COUNTIFS(加電履歴!$F:$F,A45,加電履歴!$E:$E,"JAリスト")=0,"",INDEX(加電履歴!$I:$I,MATCH(1,(加電履歴!$F:$F=A45)*(加電履歴!$E:$E="JAリスト")*(加電履歴!$B:$B=MAXIFS(加電履歴!$B:$B,加電履歴!$F:$F,A45,加電履歴!$E:$E,"JAリスト")),0))),"")</f>
        <v/>
      </c>
    </row>
    <row r="46" ht="12.5" customHeight="1">
      <c r="A46" s="13" t="inlineStr">
        <is>
          <t>JA新得町</t>
        </is>
      </c>
      <c r="B46" s="12" t="inlineStr">
        <is>
          <t>https://www.ja-shintoku.or.jp/</t>
        </is>
      </c>
      <c r="C46" s="13" t="inlineStr">
        <is>
          <t>北海道上川郡新得町1条南3丁目1</t>
        </is>
      </c>
      <c r="D46" s="13" t="inlineStr">
        <is>
          <t>0156-64-5021</t>
        </is>
      </c>
      <c r="E46" s="1" t="inlineStr">
        <is>
          <t>そば、酪農、肉牛。</t>
        </is>
      </c>
      <c r="F46" s="1" t="inlineStr">
        <is>
          <t>そばの収穫・加工や、酪農での年間を通じた労働力不足。</t>
        </is>
      </c>
      <c r="G46" s="1" t="inlineStr">
        <is>
          <t>語学教育のバックグラウンドを活かし、地域とのトラブルを防ぐための事前教育の徹底を強みとする。</t>
        </is>
      </c>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inlineStr">
        <is>
          <t>BREXA CrossBorder</t>
        </is>
      </c>
      <c r="AH46" s="1" t="inlineStr">
        <is>
          <t>武田 悦郎</t>
        </is>
      </c>
      <c r="AI46" s="1" t="n"/>
      <c r="AJ46" s="1" t="n"/>
      <c r="AK46" s="1" t="n"/>
      <c r="AL46" s="1" t="n"/>
      <c r="AM46" s="1" t="n"/>
      <c r="AN46" s="1" t="n"/>
      <c r="AO46">
        <f>COUNTIFS(加電履歴!$F:$F,A46,加電履歴!$E:$E,"JAリスト")</f>
        <v/>
      </c>
      <c r="AP46" s="10">
        <f>IFERROR(IF(COUNTIFS(加電履歴!$F:$F,A46,加電履歴!$E:$E,"JAリスト")=0,"",MAXIFS(加電履歴!$B:$B,加電履歴!$F:$F,A46,加電履歴!$E:$E,"JAリスト")),"")</f>
        <v/>
      </c>
      <c r="AQ46">
        <f>IFERROR(IF(COUNTIFS(加電履歴!$F:$F,A46,加電履歴!$E:$E,"JAリスト")=0,"",INDEX(加電履歴!$I:$I,MATCH(1,(加電履歴!$F:$F=A46)*(加電履歴!$E:$E="JAリスト")*(加電履歴!$B:$B=MAXIFS(加電履歴!$B:$B,加電履歴!$F:$F,A46,加電履歴!$E:$E,"JAリスト")),0))),"")</f>
        <v/>
      </c>
    </row>
    <row r="47" ht="12.5" customHeight="1">
      <c r="A47" s="13" t="inlineStr">
        <is>
          <t>JA阿寒</t>
        </is>
      </c>
      <c r="B47" s="12" t="inlineStr">
        <is>
          <t>http://www.ja-akan.or.jp/</t>
        </is>
      </c>
      <c r="C47" s="13" t="inlineStr">
        <is>
          <t>北海道釧路市阿寒町北新町1-4-1 (〒085-0216)</t>
        </is>
      </c>
      <c r="D47" s="13" t="inlineStr">
        <is>
          <t>0154-66-3211</t>
        </is>
      </c>
      <c r="E47" s="1" t="inlineStr">
        <is>
          <t>酪農、肉牛、エゾシカ肉加工。</t>
        </is>
      </c>
      <c r="F47" s="1" t="inlineStr">
        <is>
          <t>大規模酪農地帯であり、搾乳作業など年間を通じて安定した人員が必要。</t>
        </is>
      </c>
      <c r="G47" s="1" t="inlineStr">
        <is>
          <t>補助金採択を条件とすることで、初期費用に悩む酪農家へのアプローチを容易にする。</t>
        </is>
      </c>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inlineStr">
        <is>
          <t>BREXA CrossBorder</t>
        </is>
      </c>
      <c r="AH47" s="1" t="inlineStr">
        <is>
          <t>武田 悦郎</t>
        </is>
      </c>
      <c r="AI47" s="1" t="n"/>
      <c r="AJ47" s="1" t="n"/>
      <c r="AK47" s="1" t="n"/>
      <c r="AL47" s="1" t="n"/>
      <c r="AM47" s="1" t="n"/>
      <c r="AN47" s="1" t="n"/>
      <c r="AO47">
        <f>COUNTIFS(加電履歴!$F:$F,A47,加電履歴!$E:$E,"JAリスト")</f>
        <v/>
      </c>
      <c r="AP47" s="10">
        <f>IFERROR(IF(COUNTIFS(加電履歴!$F:$F,A47,加電履歴!$E:$E,"JAリスト")=0,"",MAXIFS(加電履歴!$B:$B,加電履歴!$F:$F,A47,加電履歴!$E:$E,"JAリスト")),"")</f>
        <v/>
      </c>
      <c r="AQ47">
        <f>IFERROR(IF(COUNTIFS(加電履歴!$F:$F,A47,加電履歴!$E:$E,"JAリスト")=0,"",INDEX(加電履歴!$I:$I,MATCH(1,(加電履歴!$F:$F=A47)*(加電履歴!$E:$E="JAリスト")*(加電履歴!$B:$B=MAXIFS(加電履歴!$B:$B,加電履歴!$F:$F,A47,加電履歴!$E:$E,"JAリスト")),0))),"")</f>
        <v/>
      </c>
    </row>
    <row r="48" ht="12.5" customHeight="1">
      <c r="A48" s="13" t="inlineStr">
        <is>
          <t>JAしべちゃ</t>
        </is>
      </c>
      <c r="B48" s="12" t="inlineStr">
        <is>
          <t>https://www.sip.jp/~ja-shibecya/</t>
        </is>
      </c>
      <c r="C48" s="13" t="inlineStr">
        <is>
          <t>北海道川上郡標茶町開運9丁目6番地 (〒088-2311)</t>
        </is>
      </c>
      <c r="D48" s="13" t="inlineStr">
        <is>
          <t>015-485-2103</t>
        </is>
      </c>
      <c r="E48" s="1" t="inlineStr">
        <is>
          <t>酪農（広大な放牧地）、肉牛。</t>
        </is>
      </c>
      <c r="F48" s="1" t="inlineStr">
        <is>
          <t>広大な面積を誇るため、孤立しがちな環境における外国人材のメンタルケアが課題。</t>
        </is>
      </c>
      <c r="G48" s="1" t="inlineStr">
        <is>
          <t>定期的な訪問や「やさしい日本語講座」を通じた細やかなメンタルサポート体制を強調する。</t>
        </is>
      </c>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inlineStr">
        <is>
          <t>BREXA CrossBorder</t>
        </is>
      </c>
      <c r="AH48" s="1" t="inlineStr">
        <is>
          <t>武田 悦郎</t>
        </is>
      </c>
      <c r="AI48" s="1" t="n"/>
      <c r="AJ48" s="1" t="n"/>
      <c r="AK48" s="1" t="n"/>
      <c r="AL48" s="1" t="n"/>
      <c r="AM48" s="1" t="n"/>
      <c r="AN48" s="1" t="n"/>
      <c r="AO48">
        <f>COUNTIFS(加電履歴!$F:$F,A48,加電履歴!$E:$E,"JAリスト")</f>
        <v/>
      </c>
      <c r="AP48" s="10">
        <f>IFERROR(IF(COUNTIFS(加電履歴!$F:$F,A48,加電履歴!$E:$E,"JAリスト")=0,"",MAXIFS(加電履歴!$B:$B,加電履歴!$F:$F,A48,加電履歴!$E:$E,"JAリスト")),"")</f>
        <v/>
      </c>
      <c r="AQ48">
        <f>IFERROR(IF(COUNTIFS(加電履歴!$F:$F,A48,加電履歴!$E:$E,"JAリスト")=0,"",INDEX(加電履歴!$I:$I,MATCH(1,(加電履歴!$F:$F=A48)*(加電履歴!$E:$E="JAリスト")*(加電履歴!$B:$B=MAXIFS(加電履歴!$B:$B,加電履歴!$F:$F,A48,加電履歴!$E:$E,"JAリスト")),0))),"")</f>
        <v/>
      </c>
    </row>
    <row r="49" ht="12.5" customHeight="1">
      <c r="A49" s="13" t="inlineStr">
        <is>
          <t>JA道東あさひ</t>
        </is>
      </c>
      <c r="B49" s="12" t="inlineStr">
        <is>
          <t>https://www.ja-doutouasahi.or.jp/</t>
        </is>
      </c>
      <c r="C49" s="13" t="inlineStr">
        <is>
          <t>北海道野付郡別海町別海緑町116番地9 (〒086-0214)</t>
        </is>
      </c>
      <c r="D49" s="13" t="inlineStr">
        <is>
          <t>0153-75-2201</t>
        </is>
      </c>
      <c r="E49" s="1" t="inlineStr">
        <is>
          <t>生乳生産量日本一の超大規模酪農。</t>
        </is>
      </c>
      <c r="F49" s="1" t="inlineStr">
        <is>
          <t>ヘルパー不足・後継者不足により、外国人材なしでは産業維持が不可能。</t>
        </is>
      </c>
      <c r="G49" s="1" t="inlineStr">
        <is>
          <t>完全成果報酬型により、JAを通じ管内の全酪農家へリスクなしで一斉アプローチできる設計を提案。</t>
        </is>
      </c>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inlineStr">
        <is>
          <t>BREXA CrossBorder</t>
        </is>
      </c>
      <c r="AH49" s="1" t="inlineStr">
        <is>
          <t>武田 悦郎</t>
        </is>
      </c>
      <c r="AI49" s="1" t="n"/>
      <c r="AJ49" s="1" t="n"/>
      <c r="AK49" s="1" t="n"/>
      <c r="AL49" s="1" t="n"/>
      <c r="AM49" s="1" t="n"/>
      <c r="AN49" s="1" t="n"/>
      <c r="AO49">
        <f>COUNTIFS(加電履歴!$F:$F,A49,加電履歴!$E:$E,"JAリスト")</f>
        <v/>
      </c>
      <c r="AP49" s="10">
        <f>IFERROR(IF(COUNTIFS(加電履歴!$F:$F,A49,加電履歴!$E:$E,"JAリスト")=0,"",MAXIFS(加電履歴!$B:$B,加電履歴!$F:$F,A49,加電履歴!$E:$E,"JAリスト")),"")</f>
        <v/>
      </c>
      <c r="AQ49">
        <f>IFERROR(IF(COUNTIFS(加電履歴!$F:$F,A49,加電履歴!$E:$E,"JAリスト")=0,"",INDEX(加電履歴!$I:$I,MATCH(1,(加電履歴!$F:$F=A49)*(加電履歴!$E:$E="JAリスト")*(加電履歴!$B:$B=MAXIFS(加電履歴!$B:$B,加電履歴!$F:$F,A49,加電履歴!$E:$E,"JAリスト")),0))),"")</f>
        <v/>
      </c>
    </row>
    <row r="50" ht="12.5" customHeight="1">
      <c r="A50" s="13" t="inlineStr">
        <is>
          <t>JAなかしゅんべつ (中春別農業協同組合)</t>
        </is>
      </c>
      <c r="B50" s="12" t="inlineStr">
        <is>
          <t>http://ja-nks.jp/</t>
        </is>
      </c>
      <c r="C50" s="13" t="inlineStr">
        <is>
          <t>北海道野付郡別海町中春別南町3 (〒086-0652)</t>
        </is>
      </c>
      <c r="D50" s="13" t="inlineStr">
        <is>
          <t>01537-6-2311</t>
        </is>
      </c>
      <c r="E50" s="1" t="inlineStr">
        <is>
          <t>酪農専業地帯。</t>
        </is>
      </c>
      <c r="F50" s="1" t="inlineStr">
        <is>
          <t>家族経営から法人化への移行期にあり、労務管理や外国人材の教育ノウハウがない。</t>
        </is>
      </c>
      <c r="G50" s="1" t="inlineStr">
        <is>
          <t>人材紹介とセットで提供する語学・コミュニケーション教育の専門性を提示し、教育コスト削減をアピール。</t>
        </is>
      </c>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inlineStr">
        <is>
          <t>BREXA CrossBorder</t>
        </is>
      </c>
      <c r="AH50" s="1" t="inlineStr">
        <is>
          <t>武田 悦郎</t>
        </is>
      </c>
      <c r="AI50" s="1" t="n"/>
      <c r="AJ50" s="1" t="n"/>
      <c r="AK50" s="1" t="n"/>
      <c r="AL50" s="1" t="n"/>
      <c r="AM50" s="1" t="n"/>
      <c r="AN50" s="1" t="n"/>
      <c r="AO50">
        <f>COUNTIFS(加電履歴!$F:$F,A50,加電履歴!$E:$E,"JAリスト")</f>
        <v/>
      </c>
      <c r="AP50" s="10">
        <f>IFERROR(IF(COUNTIFS(加電履歴!$F:$F,A50,加電履歴!$E:$E,"JAリスト")=0,"",MAXIFS(加電履歴!$B:$B,加電履歴!$F:$F,A50,加電履歴!$E:$E,"JAリスト")),"")</f>
        <v/>
      </c>
      <c r="AQ50">
        <f>IFERROR(IF(COUNTIFS(加電履歴!$F:$F,A50,加電履歴!$E:$E,"JAリスト")=0,"",INDEX(加電履歴!$I:$I,MATCH(1,(加電履歴!$F:$F=A50)*(加電履歴!$E:$E="JAリスト")*(加電履歴!$B:$B=MAXIFS(加電履歴!$B:$B,加電履歴!$F:$F,A50,加電履歴!$E:$E,"JAリスト")),0))),"")</f>
        <v/>
      </c>
    </row>
    <row r="51" ht="12.5" customHeight="1">
      <c r="A51" s="13" t="inlineStr">
        <is>
          <t>JA標津</t>
        </is>
      </c>
      <c r="B51" s="12" t="inlineStr">
        <is>
          <t>https://www.ja-shibetsu.com/</t>
        </is>
      </c>
      <c r="C51" s="13" t="inlineStr">
        <is>
          <t>北海道標津郡標津町字川北基線西2番地</t>
        </is>
      </c>
      <c r="D51" s="13" t="inlineStr">
        <is>
          <t>0153-85-2121</t>
        </is>
      </c>
      <c r="E51" s="1" t="inlineStr">
        <is>
          <t>酪農中心。</t>
        </is>
      </c>
      <c r="F51" s="1" t="inlineStr">
        <is>
          <t>根室エリア特有の気候や生活環境への適応が、外国人材定着の鍵となる。</t>
        </is>
      </c>
      <c r="G51" s="1" t="inlineStr">
        <is>
          <t>入国前のオリエンテーションと、語学教育ノウハウを活かした現地での手厚い生活支援を約束する。</t>
        </is>
      </c>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inlineStr">
        <is>
          <t>BREXA CrossBorder</t>
        </is>
      </c>
      <c r="AH51" s="1" t="inlineStr">
        <is>
          <t>武田 悦郎</t>
        </is>
      </c>
      <c r="AI51" s="1" t="n"/>
      <c r="AJ51" s="1" t="n"/>
      <c r="AK51" s="1" t="n"/>
      <c r="AL51" s="1" t="n"/>
      <c r="AM51" s="1" t="n"/>
      <c r="AN51" s="1" t="n"/>
      <c r="AO51">
        <f>COUNTIFS(加電履歴!$F:$F,A51,加電履歴!$E:$E,"JAリスト")</f>
        <v/>
      </c>
      <c r="AP51" s="10">
        <f>IFERROR(IF(COUNTIFS(加電履歴!$F:$F,A51,加電履歴!$E:$E,"JAリスト")=0,"",MAXIFS(加電履歴!$B:$B,加電履歴!$F:$F,A51,加電履歴!$E:$E,"JAリスト")),"")</f>
        <v/>
      </c>
      <c r="AQ51">
        <f>IFERROR(IF(COUNTIFS(加電履歴!$F:$F,A51,加電履歴!$E:$E,"JAリスト")=0,"",INDEX(加電履歴!$I:$I,MATCH(1,(加電履歴!$F:$F=A51)*(加電履歴!$E:$E="JAリスト")*(加電履歴!$B:$B=MAXIFS(加電履歴!$B:$B,加電履歴!$F:$F,A51,加電履歴!$E:$E,"JAリスト")),0))),"")</f>
        <v/>
      </c>
    </row>
    <row r="52" ht="12.5" customHeight="1">
      <c r="A52" s="17" t="inlineStr">
        <is>
          <t>JAオホーツク網走</t>
        </is>
      </c>
      <c r="B52" s="16" t="inlineStr">
        <is>
          <t>https://ja-okhotskabashiri.or.jp/</t>
        </is>
      </c>
      <c r="C52" s="17" t="inlineStr">
        <is>
          <t>北海道網走市南4条東2丁目10番地 (〒093-8728)</t>
        </is>
      </c>
      <c r="D52" s="17" t="inlineStr">
        <is>
          <t>0152-43-2311</t>
        </is>
      </c>
      <c r="E52" s="17" t="inlineStr">
        <is>
          <t>網走市・大空町(女満別)・東藻琴の広域JA。米・小麦・じゃがいも・てんさい・玉ねぎ・ブランド牛「オホーツクあばしり和牛」。</t>
        </is>
      </c>
      <c r="F52" s="17" t="inlineStr">
        <is>
          <t>畑作と畜産の複合経営、選果場での労働力不足。</t>
        </is>
      </c>
      <c r="G52" s="17" t="inlineStr">
        <is>
          <t>オホーツク地域の主要JAとして、補助金活用と完全成果報酬型を提示しながら、広域組合員への一斉アプローチを提案。</t>
        </is>
      </c>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f>COUNTIFS(加電履歴!$F:$F,A52,加電履歴!$E:$E,"JAリスト")</f>
        <v/>
      </c>
      <c r="AP52" s="10">
        <f>IFERROR(IF(COUNTIFS(加電履歴!$F:$F,A52,加電履歴!$E:$E,"JAリスト")=0,"",MAXIFS(加電履歴!$B:$B,加電履歴!$F:$F,A52,加電履歴!$E:$E,"JAリスト")),"")</f>
        <v/>
      </c>
      <c r="AQ52">
        <f>IFERROR(IF(COUNTIFS(加電履歴!$F:$F,A52,加電履歴!$E:$E,"JAリスト")=0,"",INDEX(加電履歴!$I:$I,MATCH(1,(加電履歴!$F:$F=A52)*(加電履歴!$E:$E="JAリスト")*(加電履歴!$B:$B=MAXIFS(加電履歴!$B:$B,加電履歴!$F:$F,A52,加電履歴!$E:$E,"JAリスト")),0))),"")</f>
        <v/>
      </c>
    </row>
    <row r="53" ht="12.5" customHeight="1">
      <c r="A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2.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18" t="inlineStr">
        <is>
          <t>株式会社Kalm角山</t>
        </is>
      </c>
      <c r="C2" s="12" t="inlineStr">
        <is>
          <t>https://www.kalm.co.jp/</t>
        </is>
      </c>
      <c r="D2" s="18" t="inlineStr">
        <is>
          <t>北海道江別市角山491</t>
        </is>
      </c>
      <c r="E2" s="18" t="inlineStr">
        <is>
          <t>011-378-6858</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18" t="inlineStr">
        <is>
          <t>株式会社町村農場</t>
        </is>
      </c>
      <c r="C3" s="12" t="inlineStr">
        <is>
          <t>http://www.machimura.co.jp/</t>
        </is>
      </c>
      <c r="D3" s="18" t="inlineStr">
        <is>
          <t>北海道江別市篠津183番地 (〒067-0055)</t>
        </is>
      </c>
      <c r="E3" s="18"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18" t="inlineStr">
        <is>
          <t>おおやファーム株式会社</t>
        </is>
      </c>
      <c r="C4" s="12" t="inlineStr">
        <is>
          <t>https://ooya-farm.com/</t>
        </is>
      </c>
      <c r="D4" s="18" t="inlineStr">
        <is>
          <t>北海道千歳市駒里2297 (〒066-0011)</t>
        </is>
      </c>
      <c r="E4" s="18" t="inlineStr">
        <is>
          <t>0123-40-6175</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18" t="inlineStr">
        <is>
          <t>有限会社浅野農場</t>
        </is>
      </c>
      <c r="C5" s="12" t="inlineStr">
        <is>
          <t>https://asanofarm.com/</t>
        </is>
      </c>
      <c r="D5" s="18" t="inlineStr">
        <is>
          <t>北海道石狩郡当別町字上当別2190番地 (〒061-0207)</t>
        </is>
      </c>
      <c r="E5" s="18"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18" t="inlineStr">
        <is>
          <t>有限会社永光農園</t>
        </is>
      </c>
      <c r="C6" s="12" t="inlineStr">
        <is>
          <t>https://nagamitsufarm.com/</t>
        </is>
      </c>
      <c r="D6" s="18" t="inlineStr">
        <is>
          <t>北海道札幌市清田区有明216番地</t>
        </is>
      </c>
      <c r="E6" s="18" t="inlineStr">
        <is>
          <t>011-886-7204</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18" t="inlineStr">
        <is>
          <t>酪農体験むらかみ牧場</t>
        </is>
      </c>
      <c r="C7" s="12" t="inlineStr">
        <is>
          <t>https://murakami-farm.com/</t>
        </is>
      </c>
      <c r="D7" s="18" t="inlineStr">
        <is>
          <t>北海道恵庭市戸磯156番地</t>
        </is>
      </c>
      <c r="E7" s="18" t="inlineStr">
        <is>
          <t>080-6061-9966</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18" t="inlineStr">
        <is>
          <t>株式会社北海道酪農公社</t>
        </is>
      </c>
      <c r="C8" s="12" t="inlineStr">
        <is>
          <t>https://www.mainichi-milk.co.jp/</t>
        </is>
      </c>
      <c r="D8" s="18" t="inlineStr">
        <is>
          <t>北海道江別市工栄町16 (〒067-0051)</t>
        </is>
      </c>
      <c r="E8" s="18"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18" t="inlineStr">
        <is>
          <t>株式会社太田ファーム</t>
        </is>
      </c>
      <c r="C9" s="12" t="inlineStr">
        <is>
          <t>https://ohtafarm-tamago.com/</t>
        </is>
      </c>
      <c r="D9" s="18" t="inlineStr">
        <is>
          <t>北海道江別市角山189 (〒067-0052)</t>
        </is>
      </c>
      <c r="E9" s="18" t="inlineStr">
        <is>
          <t>011-383-8245</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18" t="inlineStr">
        <is>
          <t>株式会社ユートピアアグリカルチャー (本店:日高町豊郷916-6)</t>
        </is>
      </c>
      <c r="C10" s="12" t="inlineStr">
        <is>
          <t>https://www.utopiaagriculture.com/</t>
        </is>
      </c>
      <c r="D10" s="18" t="inlineStr">
        <is>
          <t>北海道札幌市中央区北1条西10丁目1-21 ユーネットビル2階 ※札幌事務所</t>
        </is>
      </c>
      <c r="E10" s="18" t="inlineStr">
        <is>
          <t>011-590-4195</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18" t="inlineStr">
        <is>
          <t>有限会社大塚農場</t>
        </is>
      </c>
      <c r="C11" s="12" t="inlineStr">
        <is>
          <t>https://www.oh-farm.co.jp/</t>
        </is>
      </c>
      <c r="D11" s="18" t="inlineStr">
        <is>
          <t>北海道石狩郡当別町字東裏3122番地</t>
        </is>
      </c>
      <c r="E11" s="18" t="inlineStr">
        <is>
          <t>※公式サイト経由 / 0133-23-2831 ※要確認</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18" t="inlineStr">
        <is>
          <t>有限会社山中畜産</t>
        </is>
      </c>
      <c r="C12" s="12" t="inlineStr">
        <is>
          <t>http://www.yamanaka-pork.com/</t>
        </is>
      </c>
      <c r="D12" s="18" t="inlineStr">
        <is>
          <t>北海道夕張郡長沼町西2線北1番地 (〒069-1318)</t>
        </is>
      </c>
      <c r="E12" s="18"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18" t="inlineStr">
        <is>
          <t>有限会社福屋牧場</t>
        </is>
      </c>
      <c r="C13" s="12" t="inlineStr">
        <is>
          <t>https://www.elmlane.co.jp/</t>
        </is>
      </c>
      <c r="D13" s="18" t="inlineStr">
        <is>
          <t>北海道恵庭市上山口653-4 (〒061-1404)</t>
        </is>
      </c>
      <c r="E13" s="18"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18" t="inlineStr">
        <is>
          <t>株式会社ホクリヨウ(本社)</t>
        </is>
      </c>
      <c r="C14" s="12" t="inlineStr">
        <is>
          <t>https://www.hokuryo.co.jp/</t>
        </is>
      </c>
      <c r="D14" s="18" t="inlineStr">
        <is>
          <t>北海道札幌市白石区中央2条3丁目6番15号 (〒003-0012)</t>
        </is>
      </c>
      <c r="E14" s="18"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18" t="inlineStr">
        <is>
          <t>株式会社ホクリヨウ 千歳GP</t>
        </is>
      </c>
      <c r="C15" s="12" t="inlineStr">
        <is>
          <t>https://www.hokuryo.co.jp/</t>
        </is>
      </c>
      <c r="D15" s="18" t="inlineStr">
        <is>
          <t>北海道千歳市駒里2208 (〒066-0011)</t>
        </is>
      </c>
      <c r="E15" s="18"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18" t="inlineStr">
        <is>
          <t>ホクレンくみあいファーム株式会社 恵庭農場</t>
        </is>
      </c>
      <c r="C16" s="12" t="inlineStr">
        <is>
          <t>http://kumiai-farm.co.jp/</t>
        </is>
      </c>
      <c r="D16" s="18" t="inlineStr">
        <is>
          <t>北海道恵庭市北島27-1</t>
        </is>
      </c>
      <c r="E16" s="18"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18" t="inlineStr">
        <is>
          <t>有限会社小林牧場</t>
        </is>
      </c>
      <c r="C17" s="12" t="inlineStr">
        <is>
          <t>https://kobayashibokujo.com/</t>
        </is>
      </c>
      <c r="D17" s="18" t="inlineStr">
        <is>
          <t>北海道江別市西野幌668番地</t>
        </is>
      </c>
      <c r="E17" s="18"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18" t="inlineStr">
        <is>
          <t>有限会社池端牧場</t>
        </is>
      </c>
      <c r="C18" s="12" t="inlineStr">
        <is>
          <t>https://ikebata-farm.com/</t>
        </is>
      </c>
      <c r="D18" s="18" t="inlineStr">
        <is>
          <t>北海道石狩市樽川97-11 (〒061-3251)</t>
        </is>
      </c>
      <c r="E18" s="18"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18" t="inlineStr">
        <is>
          <t>一般社団法人Agricola (ファームアグリコラ)</t>
        </is>
      </c>
      <c r="C19" s="12" t="inlineStr">
        <is>
          <t>https://www.agricola.jp/</t>
        </is>
      </c>
      <c r="D19" s="18" t="inlineStr">
        <is>
          <t>北海道石狩郡当別町字金沢1779-17</t>
        </is>
      </c>
      <c r="E19" s="18"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18" t="inlineStr">
        <is>
          <t>株式会社北海道中央牧場</t>
        </is>
      </c>
      <c r="C20" s="12" t="inlineStr">
        <is>
          <t>https://hokkaido-chuobokujo.com/</t>
        </is>
      </c>
      <c r="D20" s="18" t="inlineStr">
        <is>
          <t>北海道北広島市北進町1丁目2-2 北広島ターミナルビル4階</t>
        </is>
      </c>
      <c r="E20" s="18"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9" t="inlineStr">
        <is>
          <t>有限会社長沼ファーム</t>
        </is>
      </c>
      <c r="D21" s="9" t="inlineStr">
        <is>
          <t>北海道夕張郡長沼町東7線北5</t>
        </is>
      </c>
      <c r="E21" s="9"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9" t="inlineStr">
        <is>
          <t>株式会社 肉の山本(千歳ラム工房)</t>
        </is>
      </c>
      <c r="D22" s="9" t="inlineStr">
        <is>
          <t>北海道千歳市流通3丁目2-2</t>
        </is>
      </c>
      <c r="E22" s="9"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9" t="inlineStr">
        <is>
          <t>ファームエイジ株式会社</t>
        </is>
      </c>
      <c r="D23" s="9" t="inlineStr">
        <is>
          <t>北海道石狩郡当別町字金沢166-8</t>
        </is>
      </c>
      <c r="E23" s="9"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9" t="inlineStr">
        <is>
          <t>株式会社ぼくはん</t>
        </is>
      </c>
      <c r="D24" s="9" t="inlineStr">
        <is>
          <t>北海道北広島市西の里東3丁目9-13</t>
        </is>
      </c>
      <c r="E24" s="9"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9" t="inlineStr">
        <is>
          <t>北海道ホルスタイン農業協同組合</t>
        </is>
      </c>
      <c r="D25" s="9" t="inlineStr">
        <is>
          <t>北海道札幌市北区北15条西5丁目1-5</t>
        </is>
      </c>
      <c r="E25" s="9"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18" t="inlineStr">
        <is>
          <t>アースドリーム角山農場 (トンデンファーム)</t>
        </is>
      </c>
      <c r="C26" s="12" t="inlineStr">
        <is>
          <t>https://www.tondenfarm.co.jp/</t>
        </is>
      </c>
      <c r="D26" s="18" t="inlineStr">
        <is>
          <t>北海道江別市元野幌584番地1</t>
        </is>
      </c>
      <c r="E26" s="18"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9" t="inlineStr">
        <is>
          <t>千歳市営牧場(道央農業振興公社)</t>
        </is>
      </c>
      <c r="D27" s="9" t="inlineStr">
        <is>
          <t>北海道千歳市駒里1032番地の1</t>
        </is>
      </c>
      <c r="E27" s="9"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9" t="inlineStr">
        <is>
          <t>石狩ひつじ牧場</t>
        </is>
      </c>
      <c r="D28" s="9" t="inlineStr">
        <is>
          <t>北海道石狩市樽川485-1</t>
        </is>
      </c>
      <c r="E28" s="9" t="inlineStr">
        <is>
          <t>011-765-1116</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9" t="inlineStr">
        <is>
          <t>有限会社大塚ファーム</t>
        </is>
      </c>
      <c r="D29" s="9" t="inlineStr">
        <is>
          <t>北海道石狩郡新篠津村第36線南42番地</t>
        </is>
      </c>
      <c r="E29" s="9"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9" t="inlineStr">
        <is>
          <t>株式会社JAKE</t>
        </is>
      </c>
      <c r="D30" s="9" t="inlineStr">
        <is>
          <t>北海道岩見沢市下志文町24-11</t>
        </is>
      </c>
      <c r="E30" s="9" t="inlineStr">
        <is>
          <t>0126-26-3340</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9" t="inlineStr">
        <is>
          <t>日本クリーンファーム株式会社 道南事業所</t>
        </is>
      </c>
      <c r="D35" s="9" t="inlineStr">
        <is>
          <t>北海道二海郡八雲町</t>
        </is>
      </c>
      <c r="E35" s="9" t="inlineStr">
        <is>
          <t>不明</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9" t="inlineStr">
        <is>
          <t>株式会社山邊畜産</t>
        </is>
      </c>
      <c r="D36" s="9" t="inlineStr">
        <is>
          <t>北海道函館市</t>
        </is>
      </c>
      <c r="E36" s="9"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9" t="inlineStr">
        <is>
          <t>有限会社サクセス森</t>
        </is>
      </c>
      <c r="D37" s="9" t="inlineStr">
        <is>
          <t>北海道茅部郡森町</t>
        </is>
      </c>
      <c r="E37" s="9" t="inlineStr">
        <is>
          <t>不明</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9" t="inlineStr">
        <is>
          <t>有限会社道南アグロ</t>
        </is>
      </c>
      <c r="D38" s="9" t="inlineStr">
        <is>
          <t>北海道茅部郡森町</t>
        </is>
      </c>
      <c r="E38" s="9" t="inlineStr">
        <is>
          <t>不明</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9" t="inlineStr">
        <is>
          <t>有限会社西村畜産</t>
        </is>
      </c>
      <c r="D39" s="9" t="inlineStr">
        <is>
          <t>北海道茅部郡森町</t>
        </is>
      </c>
      <c r="E39" s="9" t="inlineStr">
        <is>
          <t>不明</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9" t="inlineStr">
        <is>
          <t>有限会社高橋畜産</t>
        </is>
      </c>
      <c r="D40" s="9" t="inlineStr">
        <is>
          <t>北海道久遠郡せたな町</t>
        </is>
      </c>
      <c r="E40" s="9" t="inlineStr">
        <is>
          <t>不明</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9" t="inlineStr">
        <is>
          <t>有限会社森農場</t>
        </is>
      </c>
      <c r="D41" s="9" t="inlineStr">
        <is>
          <t>北海道檜山郡上ノ国町</t>
        </is>
      </c>
      <c r="E41" s="9" t="inlineStr">
        <is>
          <t>不明</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9" t="inlineStr">
        <is>
          <t>株式会社ひこま豚</t>
        </is>
      </c>
      <c r="D42" s="9" t="inlineStr">
        <is>
          <t>北海道茅部郡森町</t>
        </is>
      </c>
      <c r="E42" s="9" t="inlineStr">
        <is>
          <t>不明</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9" t="inlineStr">
        <is>
          <t>株式会社函館酪農公社</t>
        </is>
      </c>
      <c r="D43" s="9" t="inlineStr">
        <is>
          <t>北海道函館市中野町</t>
        </is>
      </c>
      <c r="E43" s="9"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9" t="inlineStr">
        <is>
          <t>はこだてSinアグリファーム</t>
        </is>
      </c>
      <c r="D44" s="9" t="inlineStr">
        <is>
          <t>北海道函館市</t>
        </is>
      </c>
      <c r="E44" s="9" t="inlineStr">
        <is>
          <t>不明</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9" t="inlineStr">
        <is>
          <t>小澤牧場</t>
        </is>
      </c>
      <c r="D45" s="9" t="inlineStr">
        <is>
          <t>北海道七飯町</t>
        </is>
      </c>
      <c r="E45" s="9" t="inlineStr">
        <is>
          <t>不明</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9" t="inlineStr">
        <is>
          <t>鈴木牧場</t>
        </is>
      </c>
      <c r="D46" s="9" t="inlineStr">
        <is>
          <t>北海道北斗市</t>
        </is>
      </c>
      <c r="E46" s="9" t="inlineStr">
        <is>
          <t>不明</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9" t="inlineStr">
        <is>
          <t>有限会社八雲ファーム</t>
        </is>
      </c>
      <c r="D47" s="9" t="inlineStr">
        <is>
          <t>北海道二海郡八雲町</t>
        </is>
      </c>
      <c r="E47" s="9" t="inlineStr">
        <is>
          <t>不明</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9" t="inlineStr">
        <is>
          <t>日本フードパッカー株式会社 道南工場</t>
        </is>
      </c>
      <c r="D48" s="9" t="inlineStr">
        <is>
          <t>北海道</t>
        </is>
      </c>
      <c r="E48" s="9" t="inlineStr">
        <is>
          <t>不明</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道東(網走)</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道東(網走)</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道東(北見)</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道東(北見)</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道東(美幌)</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道東(美幌)</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道東(斜里)</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道東(網走)</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道東(網走)</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道東(大空)</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道東(大空)</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道東(大空)</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道東(津別)</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道東(網走)</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道東(大空)</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道東(大空)</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道東(小清水)</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2">
      <c r="C92" t="inlineStr">
        <is>
          <t>https://sasaki-web.net/</t>
        </is>
      </c>
    </row>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1">
      <c r="C101" t="inlineStr">
        <is>
          <t>https://nagao-sangyo.com/</t>
        </is>
      </c>
    </row>
    <row r="102">
      <c r="C102" t="inlineStr">
        <is>
          <t>http://agriheart.jp/</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6" r:id="rId20"/>
    <hyperlink xmlns:r="http://schemas.openxmlformats.org/officeDocument/2006/relationships" ref="C49" r:id="rId21"/>
    <hyperlink xmlns:r="http://schemas.openxmlformats.org/officeDocument/2006/relationships" ref="C50" r:id="rId22"/>
    <hyperlink xmlns:r="http://schemas.openxmlformats.org/officeDocument/2006/relationships" ref="C51" r:id="rId23"/>
    <hyperlink xmlns:r="http://schemas.openxmlformats.org/officeDocument/2006/relationships" ref="C52" r:id="rId24"/>
    <hyperlink xmlns:r="http://schemas.openxmlformats.org/officeDocument/2006/relationships" ref="C53" r:id="rId25"/>
    <hyperlink xmlns:r="http://schemas.openxmlformats.org/officeDocument/2006/relationships" ref="C55" r:id="rId26"/>
    <hyperlink xmlns:r="http://schemas.openxmlformats.org/officeDocument/2006/relationships" ref="C56" r:id="rId27"/>
    <hyperlink xmlns:r="http://schemas.openxmlformats.org/officeDocument/2006/relationships" ref="C57" r:id="rId28"/>
    <hyperlink xmlns:r="http://schemas.openxmlformats.org/officeDocument/2006/relationships" ref="C58" r:id="rId29"/>
    <hyperlink xmlns:r="http://schemas.openxmlformats.org/officeDocument/2006/relationships" ref="C65" r:id="rId30"/>
    <hyperlink xmlns:r="http://schemas.openxmlformats.org/officeDocument/2006/relationships" ref="C70" r:id="rId31"/>
    <hyperlink xmlns:r="http://schemas.openxmlformats.org/officeDocument/2006/relationships" ref="C87" r:id="rId32"/>
    <hyperlink xmlns:r="http://schemas.openxmlformats.org/officeDocument/2006/relationships" ref="C88" r:id="rId33"/>
    <hyperlink xmlns:r="http://schemas.openxmlformats.org/officeDocument/2006/relationships" ref="C89" r:id="rId34"/>
    <hyperlink xmlns:r="http://schemas.openxmlformats.org/officeDocument/2006/relationships" ref="C90" r:id="rId35"/>
    <hyperlink xmlns:r="http://schemas.openxmlformats.org/officeDocument/2006/relationships" ref="C92" r:id="rId36"/>
    <hyperlink xmlns:r="http://schemas.openxmlformats.org/officeDocument/2006/relationships" ref="C95" r:id="rId37"/>
    <hyperlink xmlns:r="http://schemas.openxmlformats.org/officeDocument/2006/relationships" ref="C96" r:id="rId38"/>
    <hyperlink xmlns:r="http://schemas.openxmlformats.org/officeDocument/2006/relationships" ref="C97" r:id="rId39"/>
    <hyperlink xmlns:r="http://schemas.openxmlformats.org/officeDocument/2006/relationships" ref="C98" r:id="rId40"/>
    <hyperlink xmlns:r="http://schemas.openxmlformats.org/officeDocument/2006/relationships" ref="C99" r:id="rId41"/>
    <hyperlink xmlns:r="http://schemas.openxmlformats.org/officeDocument/2006/relationships" ref="C101" r:id="rId42"/>
    <hyperlink xmlns:r="http://schemas.openxmlformats.org/officeDocument/2006/relationships" ref="C102" r:id="rId43"/>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2" customWidth="1" min="4" max="4"/>
    <col width="12" customWidth="1" min="5" max="5"/>
    <col width="30" customWidth="1" min="6" max="6"/>
    <col width="14" customWidth="1" min="7" max="7"/>
    <col width="14" customWidth="1" min="8" max="8"/>
    <col width="14" customWidth="1" min="9" max="9"/>
    <col width="50" customWidth="1" min="10" max="10"/>
    <col width="30" customWidth="1" min="11" max="11"/>
    <col width="12" customWidth="1" min="12" max="12"/>
  </cols>
  <sheetData>
    <row r="1">
      <c r="A1" s="11" t="inlineStr">
        <is>
          <t>No.</t>
        </is>
      </c>
      <c r="B1" s="11" t="inlineStr">
        <is>
          <t>日付</t>
        </is>
      </c>
      <c r="C1" s="11" t="inlineStr">
        <is>
          <t>開始時刻</t>
        </is>
      </c>
      <c r="D1" s="11" t="inlineStr">
        <is>
          <t>通話時間(分)</t>
        </is>
      </c>
      <c r="E1" s="11" t="inlineStr">
        <is>
          <t>シート</t>
        </is>
      </c>
      <c r="F1" s="11" t="inlineStr">
        <is>
          <t>企業名</t>
        </is>
      </c>
      <c r="G1" s="11" t="inlineStr">
        <is>
          <t>担当者(自社)</t>
        </is>
      </c>
      <c r="H1" s="11" t="inlineStr">
        <is>
          <t>相手先担当者</t>
        </is>
      </c>
      <c r="I1" s="11" t="inlineStr">
        <is>
          <t>結果</t>
        </is>
      </c>
      <c r="J1" s="11" t="inlineStr">
        <is>
          <t>内容メモ</t>
        </is>
      </c>
      <c r="K1" s="11" t="inlineStr">
        <is>
          <t>次回ToDo</t>
        </is>
      </c>
      <c r="L1" s="11" t="inlineStr">
        <is>
          <t>次回予定日</t>
        </is>
      </c>
    </row>
  </sheetData>
  <autoFilter ref="A1:L1"/>
  <dataValidations count="2">
    <dataValidation sqref="I2:I1000" showDropDown="0" showInputMessage="0" showErrorMessage="0" allowBlank="1" type="list">
      <formula1>"つながった,不在,留守電,断り,担当者不在,アポ獲得,商談,折返し待ち,その他"</formula1>
    </dataValidation>
    <dataValidation sqref="E2:E1000" showDropDown="0" showInputMessage="0" showErrorMessage="0" allowBlank="1" type="list">
      <formula1>"JAリスト,畜種農業"</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2026-05-14T02:41:22Z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