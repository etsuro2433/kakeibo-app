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kitamirai.or.jp/" TargetMode="External" Id="rId1" /><Relationship Type="http://schemas.openxmlformats.org/officeDocument/2006/relationships/hyperlink" Target="https://www.ja-tokoro.or.jp/" TargetMode="External" Id="rId2" /><Relationship Type="http://schemas.openxmlformats.org/officeDocument/2006/relationships/hyperlink" Target="https://www.ja-memanbetsu.jp/" TargetMode="External" Id="rId3" /><Relationship Type="http://schemas.openxmlformats.org/officeDocument/2006/relationships/hyperlink" Target="https://www.ja-bihoro.or.jp/" TargetMode="External" Id="rId4" /><Relationship Type="http://schemas.openxmlformats.org/officeDocument/2006/relationships/hyperlink" Target="https://www.jatsubetsu.or.jp/" TargetMode="External" Id="rId5" /><Relationship Type="http://schemas.openxmlformats.org/officeDocument/2006/relationships/hyperlink" Target="https://ja-shiretokoshari.or.jp/" TargetMode="External" Id="rId6" /><Relationship Type="http://schemas.openxmlformats.org/officeDocument/2006/relationships/hyperlink" Target="https://ja-kiyosato.or.jp/" TargetMode="External" Id="rId7" /><Relationship Type="http://schemas.openxmlformats.org/officeDocument/2006/relationships/hyperlink" Target="https://ja-koshimizu.jp/" TargetMode="External" Id="rId8" /><Relationship Type="http://schemas.openxmlformats.org/officeDocument/2006/relationships/hyperlink" Target="https://www.ja-enyu.com/" TargetMode="External" Id="rId9" /><Relationship Type="http://schemas.openxmlformats.org/officeDocument/2006/relationships/hyperlink" Target="https://www.jaobihirokawanisi.or.jp/" TargetMode="External" Id="rId10" /><Relationship Type="http://schemas.openxmlformats.org/officeDocument/2006/relationships/hyperlink" Target="https://www.ja-otofuke.jp/" TargetMode="External" Id="rId11" /><Relationship Type="http://schemas.openxmlformats.org/officeDocument/2006/relationships/hyperlink" Target="https://ja-kino.com/" TargetMode="External" Id="rId12" /><Relationship Type="http://schemas.openxmlformats.org/officeDocument/2006/relationships/hyperlink" Target="https://www.ja-shihoro.or.jp/" TargetMode="External" Id="rId13" /><Relationship Type="http://schemas.openxmlformats.org/officeDocument/2006/relationships/hyperlink" Target="https://ja-kamishihoro.or.jp/" TargetMode="External" Id="rId14" /><Relationship Type="http://schemas.openxmlformats.org/officeDocument/2006/relationships/hyperlink" Target="https://www.ja-shikaoi.com/" TargetMode="External" Id="rId15" /><Relationship Type="http://schemas.openxmlformats.org/officeDocument/2006/relationships/hyperlink" Target="https://www.ja-shintoku.or.jp/" TargetMode="External" Id="rId16" /><Relationship Type="http://schemas.openxmlformats.org/officeDocument/2006/relationships/hyperlink" Target="http://www.ja-akan.or.jp/" TargetMode="External" Id="rId17" /><Relationship Type="http://schemas.openxmlformats.org/officeDocument/2006/relationships/hyperlink" Target="https://www.sip.jp/~ja-shibecya/" TargetMode="External" Id="rId18" /><Relationship Type="http://schemas.openxmlformats.org/officeDocument/2006/relationships/hyperlink" Target="https://www.ja-doutouasahi.or.jp/" TargetMode="External" Id="rId19" /><Relationship Type="http://schemas.openxmlformats.org/officeDocument/2006/relationships/hyperlink" Target="http://ja-nks.jp/" TargetMode="External" Id="rId20" /><Relationship Type="http://schemas.openxmlformats.org/officeDocument/2006/relationships/hyperlink" Target="https://www.ja-shibetsu.com/" TargetMode="External" Id="rId21" /><Relationship Type="http://schemas.openxmlformats.org/officeDocument/2006/relationships/hyperlink" Target="https://ja-okhotskabashiri.or.jp/" TargetMode="External" Id="rId22" /><Relationship Type="http://schemas.openxmlformats.org/officeDocument/2006/relationships/table" Target="/xl/tables/table1.xml" Id="rId23" /></Relationships>
</file>

<file path=xl/worksheets/_rels/sheet2.xml.rels><Relationships xmlns="http://schemas.openxmlformats.org/package/2006/relationships"><Relationship Type="http://schemas.openxmlformats.org/officeDocument/2006/relationships/hyperlink" Target="http://www.genseibokujou.co.jp/" TargetMode="External" Id="rId1" /><Relationship Type="http://schemas.openxmlformats.org/officeDocument/2006/relationships/hyperlink" Target="https://www.hokkaido-pork.jp/farm/feedone/farm_kyodo/" TargetMode="External" Id="rId2" /><Relationship Type="http://schemas.openxmlformats.org/officeDocument/2006/relationships/hyperlink" Target="https://kitakitsune-farm.com/" TargetMode="External" Id="rId3" /><Relationship Type="http://schemas.openxmlformats.org/officeDocument/2006/relationships/hyperlink" Target="http://www.bihoro-gyu.com/" TargetMode="External" Id="rId4" /><Relationship Type="http://schemas.openxmlformats.org/officeDocument/2006/relationships/hyperlink" Target="https://sasaki-web.net/" TargetMode="External" Id="rId5" /><Relationship Type="http://schemas.openxmlformats.org/officeDocument/2006/relationships/hyperlink" Target="https://tikusan.securesite.jp/" TargetMode="External" Id="rId6" /><Relationship Type="http://schemas.openxmlformats.org/officeDocument/2006/relationships/hyperlink" Target="https://www.yamaguchifarm.com/" TargetMode="External" Id="rId7" /><Relationship Type="http://schemas.openxmlformats.org/officeDocument/2006/relationships/hyperlink" Target="https://www.nishi-farm.com/" TargetMode="External" Id="rId8" /><Relationship Type="http://schemas.openxmlformats.org/officeDocument/2006/relationships/hyperlink" Target="https://tsubetsufarm.com/" TargetMode="External" Id="rId9"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 t="inlineStr">
        <is>
          <t>JA道央</t>
        </is>
      </c>
      <c r="C2" s="1" t="inlineStr">
        <is>
          <t>恵庭市</t>
        </is>
      </c>
      <c r="D2" s="1" t="inlineStr">
        <is>
          <t>0123-33-5854</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 t="inlineStr">
        <is>
          <t>JA北石狩</t>
        </is>
      </c>
      <c r="C3" s="1" t="inlineStr">
        <is>
          <t>石狩市</t>
        </is>
      </c>
      <c r="D3" s="1" t="inlineStr">
        <is>
          <t>0133-23-2560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 t="inlineStr">
        <is>
          <t>JA新しのつ</t>
        </is>
      </c>
      <c r="C4" s="1" t="inlineStr">
        <is>
          <t>新篠津村</t>
        </is>
      </c>
      <c r="D4" s="1"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 t="inlineStr">
        <is>
          <t>JAいわみざわ</t>
        </is>
      </c>
      <c r="C5" s="1" t="inlineStr">
        <is>
          <t>岩見沢市</t>
        </is>
      </c>
      <c r="D5" s="1" t="inlineStr">
        <is>
          <t>0126-25-2210</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 t="inlineStr">
        <is>
          <t>JAみねのぶ</t>
        </is>
      </c>
      <c r="C6" s="1" t="inlineStr">
        <is>
          <t>美唄市</t>
        </is>
      </c>
      <c r="D6" s="1" t="inlineStr">
        <is>
          <t>0126-67-2331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 t="inlineStr">
        <is>
          <t>JAびばい</t>
        </is>
      </c>
      <c r="C7" s="1" t="inlineStr">
        <is>
          <t>美唄市</t>
        </is>
      </c>
      <c r="D7" s="1" t="inlineStr">
        <is>
          <t>0126-62-2141</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 t="inlineStr">
        <is>
          <t>JAたきかわ</t>
        </is>
      </c>
      <c r="C8" s="1" t="inlineStr">
        <is>
          <t>滝川市</t>
        </is>
      </c>
      <c r="D8" s="1" t="inlineStr">
        <is>
          <t>0125-23-2400</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 t="inlineStr">
        <is>
          <t>JA新すながわ</t>
        </is>
      </c>
      <c r="C9" s="1" t="inlineStr">
        <is>
          <t>砂川市</t>
        </is>
      </c>
      <c r="D9" s="1"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 t="inlineStr">
        <is>
          <t>JA月形町</t>
        </is>
      </c>
      <c r="C10" s="1" t="inlineStr">
        <is>
          <t>月形町</t>
        </is>
      </c>
      <c r="D10" s="1" t="inlineStr">
        <is>
          <t>0126-53-2311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 t="inlineStr">
        <is>
          <t>JAきたそらち</t>
        </is>
      </c>
      <c r="C11" s="1" t="inlineStr">
        <is>
          <t>深川市</t>
        </is>
      </c>
      <c r="D11" s="1" t="inlineStr">
        <is>
          <t>0164-22-6618</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 t="inlineStr">
        <is>
          <t>JA北いぶき</t>
        </is>
      </c>
      <c r="C12" s="1" t="inlineStr">
        <is>
          <t>秩父別町</t>
        </is>
      </c>
      <c r="D12" s="1"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 t="inlineStr">
        <is>
          <t>JAピンネ</t>
        </is>
      </c>
      <c r="C13" s="1" t="inlineStr">
        <is>
          <t>新十津川町</t>
        </is>
      </c>
      <c r="D13" s="1"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 t="inlineStr">
        <is>
          <t>JA余市町</t>
        </is>
      </c>
      <c r="C14" s="1" t="inlineStr">
        <is>
          <t>余市町</t>
        </is>
      </c>
      <c r="D14" s="1"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 t="inlineStr">
        <is>
          <t>JAきょうわ</t>
        </is>
      </c>
      <c r="C15" s="1" t="inlineStr">
        <is>
          <t>共和町</t>
        </is>
      </c>
      <c r="D15" s="1"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 t="inlineStr">
        <is>
          <t>JA新おたる</t>
        </is>
      </c>
      <c r="C16" s="1" t="inlineStr">
        <is>
          <t>仁木町</t>
        </is>
      </c>
      <c r="D16" s="1" t="inlineStr">
        <is>
          <t>0135-32-2525</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 t="inlineStr">
        <is>
          <t>JAたいせつ</t>
        </is>
      </c>
      <c r="C17" s="1" t="inlineStr">
        <is>
          <t>旭川市</t>
        </is>
      </c>
      <c r="D17" s="1" t="inlineStr">
        <is>
          <t>0166-57-2311</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 t="inlineStr">
        <is>
          <t>JA東神楽</t>
        </is>
      </c>
      <c r="C18" s="1" t="inlineStr">
        <is>
          <t>東神楽町</t>
        </is>
      </c>
      <c r="D18" s="1" t="inlineStr">
        <is>
          <t>0166-83-2322</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 t="inlineStr">
        <is>
          <t>JAひがしかわ</t>
        </is>
      </c>
      <c r="C19" s="1" t="inlineStr">
        <is>
          <t>東川町</t>
        </is>
      </c>
      <c r="D19" s="1"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 t="inlineStr">
        <is>
          <t>JA当麻</t>
        </is>
      </c>
      <c r="C20" s="1" t="inlineStr">
        <is>
          <t>当麻町</t>
        </is>
      </c>
      <c r="D20" s="1" t="inlineStr">
        <is>
          <t>0166-84-2124</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 t="inlineStr">
        <is>
          <t>JA上川中央</t>
        </is>
      </c>
      <c r="C21" s="1" t="inlineStr">
        <is>
          <t>愛別町</t>
        </is>
      </c>
      <c r="D21" s="1" t="inlineStr">
        <is>
          <t>01658-6-5312</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 t="inlineStr">
        <is>
          <t>JAぴっぷ町</t>
        </is>
      </c>
      <c r="C22" s="1" t="inlineStr">
        <is>
          <t>比布町</t>
        </is>
      </c>
      <c r="D22" s="1" t="inlineStr">
        <is>
          <t>0166-85-2121</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 t="inlineStr">
        <is>
          <t>JA名寄</t>
        </is>
      </c>
      <c r="C24" s="1" t="inlineStr">
        <is>
          <t>名寄市</t>
        </is>
      </c>
      <c r="D24" s="1" t="inlineStr">
        <is>
          <t>01655-3-2030</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 t="inlineStr">
        <is>
          <t>JA南るもい</t>
        </is>
      </c>
      <c r="C25" s="1" t="inlineStr">
        <is>
          <t>留萌市</t>
        </is>
      </c>
      <c r="D25" s="1" t="inlineStr">
        <is>
          <t>0164-42-2277</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 t="inlineStr">
        <is>
          <t>JAオロロン</t>
        </is>
      </c>
      <c r="C26" s="1" t="inlineStr">
        <is>
          <t>羽幌町</t>
        </is>
      </c>
      <c r="D26" s="1" t="inlineStr">
        <is>
          <t>0164-62-1388</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 t="inlineStr">
        <is>
          <t>JA北宗谷</t>
        </is>
      </c>
      <c r="C27" s="1" t="inlineStr">
        <is>
          <t>豊富町</t>
        </is>
      </c>
      <c r="D27" s="1" t="inlineStr">
        <is>
          <t>0162-82-1025</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 t="inlineStr">
        <is>
          <t>JA宗谷南</t>
        </is>
      </c>
      <c r="C28" s="1" t="inlineStr">
        <is>
          <t>枝幸町</t>
        </is>
      </c>
      <c r="D28" s="1" t="inlineStr">
        <is>
          <t>0163-62-4100</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 t="inlineStr">
        <is>
          <t>JAひがし宗谷</t>
        </is>
      </c>
      <c r="C29" s="1" t="inlineStr">
        <is>
          <t>浜頓別町</t>
        </is>
      </c>
      <c r="D29" s="1" t="inlineStr">
        <is>
          <t>01634-2-3366</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 xmlns:r="http://schemas.openxmlformats.org/officeDocument/2006/relationships" ref="B38" r:id="rId9"/>
    <hyperlink xmlns:r="http://schemas.openxmlformats.org/officeDocument/2006/relationships" ref="B39" r:id="rId10"/>
    <hyperlink xmlns:r="http://schemas.openxmlformats.org/officeDocument/2006/relationships" ref="B41" r:id="rId11"/>
    <hyperlink xmlns:r="http://schemas.openxmlformats.org/officeDocument/2006/relationships" ref="B42" r:id="rId12"/>
    <hyperlink xmlns:r="http://schemas.openxmlformats.org/officeDocument/2006/relationships" ref="B43" r:id="rId13"/>
    <hyperlink xmlns:r="http://schemas.openxmlformats.org/officeDocument/2006/relationships" ref="B44" r:id="rId14"/>
    <hyperlink xmlns:r="http://schemas.openxmlformats.org/officeDocument/2006/relationships" ref="B45" r:id="rId15"/>
    <hyperlink xmlns:r="http://schemas.openxmlformats.org/officeDocument/2006/relationships" ref="B46" r:id="rId16"/>
    <hyperlink xmlns:r="http://schemas.openxmlformats.org/officeDocument/2006/relationships" ref="B47" r:id="rId17"/>
    <hyperlink xmlns:r="http://schemas.openxmlformats.org/officeDocument/2006/relationships" ref="B48" r:id="rId18"/>
    <hyperlink xmlns:r="http://schemas.openxmlformats.org/officeDocument/2006/relationships" ref="B49" r:id="rId19"/>
    <hyperlink xmlns:r="http://schemas.openxmlformats.org/officeDocument/2006/relationships" ref="B50" r:id="rId20"/>
    <hyperlink xmlns:r="http://schemas.openxmlformats.org/officeDocument/2006/relationships" ref="B51" r:id="rId21"/>
    <hyperlink xmlns:r="http://schemas.openxmlformats.org/officeDocument/2006/relationships" ref="B52" r:id="rId22"/>
  </hyperlinks>
  <pageMargins left="0.7" right="0.7" top="0.75" bottom="0.75" header="0.3" footer="0.3"/>
  <pageSetup orientation="portrait" paperSize="9"/>
  <tableParts count="1">
    <tablePart xmlns:r="http://schemas.openxmlformats.org/officeDocument/2006/relationships" r:id="rId23"/>
  </tableParts>
</worksheet>
</file>

<file path=xl/worksheets/sheet2.xml><?xml version="1.0" encoding="utf-8"?>
<worksheet xmlns="http://schemas.openxmlformats.org/spreadsheetml/2006/main">
  <sheetPr>
    <outlinePr summaryBelow="1" summaryRight="1"/>
    <pageSetUpPr/>
  </sheetPr>
  <dimension ref="A1:AS98"/>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9" t="inlineStr">
        <is>
          <t>株式会社東武牧場</t>
        </is>
      </c>
      <c r="D49" s="9" t="inlineStr">
        <is>
          <t>北海道士別市武徳町</t>
        </is>
      </c>
      <c r="E49" s="9"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9" t="inlineStr">
        <is>
          <t>下士別畜産・早川牧場</t>
        </is>
      </c>
      <c r="D50" s="9" t="inlineStr">
        <is>
          <t>北海道士別市下士別町</t>
        </is>
      </c>
      <c r="E50" s="9" t="inlineStr">
        <is>
          <t>0165-23-4171</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9" t="inlineStr">
        <is>
          <t>美瑛放牧酪農場</t>
        </is>
      </c>
      <c r="D51" s="9" t="inlineStr">
        <is>
          <t>北海道上川郡美瑛町</t>
        </is>
      </c>
      <c r="E51" s="9" t="inlineStr">
        <is>
          <t>0166-95-2277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9" t="inlineStr">
        <is>
          <t>ファームズ千代田</t>
        </is>
      </c>
      <c r="D52" s="9" t="inlineStr">
        <is>
          <t>北海道上川郡美瑛町</t>
        </is>
      </c>
      <c r="E52" s="9" t="inlineStr">
        <is>
          <t>0166-92-1718</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9" t="inlineStr">
        <is>
          <t>富良野牧場</t>
        </is>
      </c>
      <c r="D53" s="9" t="inlineStr">
        <is>
          <t>北海道富良野市</t>
        </is>
      </c>
      <c r="E53" s="9" t="inlineStr">
        <is>
          <t>0167-22-4418</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9" t="inlineStr">
        <is>
          <t>サロベツファーム</t>
        </is>
      </c>
      <c r="D54" s="9" t="inlineStr">
        <is>
          <t>北海道天塩郡豊富町</t>
        </is>
      </c>
      <c r="E54" s="9" t="inlineStr">
        <is>
          <t>0162-82-3232</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9" t="inlineStr">
        <is>
          <t>豊富牛乳公社</t>
        </is>
      </c>
      <c r="D55" s="9" t="inlineStr">
        <is>
          <t>北海道天塩郡豊富町</t>
        </is>
      </c>
      <c r="E55" s="9" t="inlineStr">
        <is>
          <t>0162-82-1211</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JA北宗谷</t>
        </is>
      </c>
      <c r="D58" s="9" t="inlineStr">
        <is>
          <t>北海道天塩郡豊富町</t>
        </is>
      </c>
      <c r="E58" s="9" t="inlineStr">
        <is>
          <t>0162-82-2112</t>
        </is>
      </c>
      <c r="F58" s="9" t="inlineStr">
        <is>
          <t>豊富・稚内の酪農統括JA</t>
        </is>
      </c>
      <c r="G58" s="9" t="inlineStr">
        <is>
          <t>管内の生乳出荷農家の労働力底上げ</t>
        </is>
      </c>
      <c r="H58" s="9" t="inlineStr">
        <is>
          <t>組合経由での外国人材採用コスト削減モデル</t>
        </is>
      </c>
      <c r="I58" s="9" t="inlineStr">
        <is>
          <t>営農部</t>
        </is>
      </c>
      <c r="J58" s="9" t="inlineStr">
        <is>
          <t>担当者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JAひがし宗谷</t>
        </is>
      </c>
      <c r="D59" s="9" t="inlineStr">
        <is>
          <t>北海道枝幸郡浜頓別町</t>
        </is>
      </c>
      <c r="E59" s="9" t="inlineStr">
        <is>
          <t>01634-2-2229</t>
        </is>
      </c>
      <c r="F59" s="9" t="inlineStr">
        <is>
          <t>宗谷東部エリアの農業統括</t>
        </is>
      </c>
      <c r="G59" s="9" t="inlineStr">
        <is>
          <t>地域農家の高齢化と後継者不足</t>
        </is>
      </c>
      <c r="H59" s="9" t="inlineStr">
        <is>
          <t>特定技能人材の紹介を通じた営農基盤の維持</t>
        </is>
      </c>
      <c r="I59" s="9" t="inlineStr">
        <is>
          <t>営農部</t>
        </is>
      </c>
      <c r="J59" s="9" t="inlineStr">
        <is>
          <t>担当者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JAわっかない</t>
        </is>
      </c>
      <c r="D60" s="9" t="inlineStr">
        <is>
          <t>北海道稚内市</t>
        </is>
      </c>
      <c r="E60" s="9" t="inlineStr">
        <is>
          <t>0162-33-5151</t>
        </is>
      </c>
      <c r="F60" s="9" t="inlineStr">
        <is>
          <t>稚内市エリアの農業統括</t>
        </is>
      </c>
      <c r="G60" s="9" t="inlineStr">
        <is>
          <t>管内酪農家の労働環境改善</t>
        </is>
      </c>
      <c r="H60" s="9" t="inlineStr">
        <is>
          <t>若手人材の供給ネットワーク構築</t>
        </is>
      </c>
      <c r="I60" s="9" t="inlineStr">
        <is>
          <t>営農部</t>
        </is>
      </c>
      <c r="J60" s="9" t="inlineStr">
        <is>
          <t>担当者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JAるもい 本所</t>
        </is>
      </c>
      <c r="D61" s="9" t="inlineStr">
        <is>
          <t>北海道苫前郡羽幌町</t>
        </is>
      </c>
      <c r="E61" s="9" t="inlineStr">
        <is>
          <t>0164-62-2141</t>
        </is>
      </c>
      <c r="F61" s="9" t="inlineStr">
        <is>
          <t>留萌管内広域JA</t>
        </is>
      </c>
      <c r="G61" s="9" t="inlineStr">
        <is>
          <t>広域な組合員農家への支援拡充</t>
        </is>
      </c>
      <c r="H61" s="9" t="inlineStr">
        <is>
          <t>人材紹介サービスを利用したソリューション</t>
        </is>
      </c>
      <c r="I61" s="9" t="inlineStr">
        <is>
          <t>営農部</t>
        </is>
      </c>
      <c r="J61" s="9" t="inlineStr">
        <is>
          <t>担当者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JAるもい 遠別支所</t>
        </is>
      </c>
      <c r="D62" s="9" t="inlineStr">
        <is>
          <t>北海道天塩郡遠別町</t>
        </is>
      </c>
      <c r="E62" s="9" t="inlineStr">
        <is>
          <t>01632-7-2511</t>
        </is>
      </c>
      <c r="F62" s="9" t="inlineStr">
        <is>
          <t>留萌北部エリアの農業支援</t>
        </is>
      </c>
      <c r="G62" s="9" t="inlineStr">
        <is>
          <t>地域過疎化に伴う担い手不足</t>
        </is>
      </c>
      <c r="H62" s="9" t="inlineStr">
        <is>
          <t>長期就労可能な特定技能の提案</t>
        </is>
      </c>
      <c r="I62" s="9" t="inlineStr">
        <is>
          <t>営農課</t>
        </is>
      </c>
      <c r="J62" s="9" t="inlineStr">
        <is>
          <t>担当者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JAふらの</t>
        </is>
      </c>
      <c r="D63" s="9" t="inlineStr">
        <is>
          <t>北海道富良野市</t>
        </is>
      </c>
      <c r="E63" s="9" t="inlineStr">
        <is>
          <t>0167-23-3532</t>
        </is>
      </c>
      <c r="F63" s="9" t="inlineStr">
        <is>
          <t>富良野エリアの農業統括</t>
        </is>
      </c>
      <c r="G63" s="9" t="inlineStr">
        <is>
          <t>複合農業における農繁期の重なり</t>
        </is>
      </c>
      <c r="H63" s="9" t="inlineStr">
        <is>
          <t>柔軟に対応できる人材の管内配置</t>
        </is>
      </c>
      <c r="I63" s="9" t="inlineStr">
        <is>
          <t>営農部</t>
        </is>
      </c>
      <c r="J63" s="9" t="inlineStr">
        <is>
          <t>担当者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JAあさひかわ</t>
        </is>
      </c>
      <c r="D64" s="9" t="inlineStr">
        <is>
          <t>北海道旭川市</t>
        </is>
      </c>
      <c r="E64" s="9" t="inlineStr">
        <is>
          <t>0166-48-5522</t>
        </is>
      </c>
      <c r="F64" s="9" t="inlineStr">
        <is>
          <t>旭川エリアの農業統括</t>
        </is>
      </c>
      <c r="G64" s="9" t="inlineStr">
        <is>
          <t>都市近郊農業の維持と発展</t>
        </is>
      </c>
      <c r="H64" s="9" t="inlineStr">
        <is>
          <t>採用コスト不要の即戦力人材の提供</t>
        </is>
      </c>
      <c r="I64" s="9" t="inlineStr">
        <is>
          <t>営農部</t>
        </is>
      </c>
      <c r="J64" s="9" t="inlineStr">
        <is>
          <t>担当者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JAたいせつ</t>
        </is>
      </c>
      <c r="D65" s="9" t="inlineStr">
        <is>
          <t>北海道旭川市</t>
        </is>
      </c>
      <c r="E65" s="9" t="inlineStr">
        <is>
          <t>0166-57-2331</t>
        </is>
      </c>
      <c r="F65" s="9" t="inlineStr">
        <is>
          <t>大雪エリアの農業統括</t>
        </is>
      </c>
      <c r="G65" s="9" t="inlineStr">
        <is>
          <t>人材不足解消策の提示</t>
        </is>
      </c>
      <c r="H65" s="9" t="inlineStr">
        <is>
          <t>営農基盤の維持に向けた人材案内</t>
        </is>
      </c>
      <c r="I65" s="9" t="inlineStr">
        <is>
          <t>営農部</t>
        </is>
      </c>
      <c r="J65" s="9" t="inlineStr">
        <is>
          <t>担当者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JAなよろ</t>
        </is>
      </c>
      <c r="D66" s="9" t="inlineStr">
        <is>
          <t>北海道名寄市</t>
        </is>
      </c>
      <c r="E66" s="9" t="inlineStr">
        <is>
          <t>01654-2-2131</t>
        </is>
      </c>
      <c r="F66" s="9" t="inlineStr">
        <is>
          <t>名寄エリアの農業統括</t>
        </is>
      </c>
      <c r="G66" s="9" t="inlineStr">
        <is>
          <t>畜産・酪農家向けの人材供給</t>
        </is>
      </c>
      <c r="H66" s="9" t="inlineStr">
        <is>
          <t>定住型人材による地域振興</t>
        </is>
      </c>
      <c r="I66" s="9" t="inlineStr">
        <is>
          <t>営農部</t>
        </is>
      </c>
      <c r="J66" s="9" t="inlineStr">
        <is>
          <t>担当者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JA北ひびき</t>
        </is>
      </c>
      <c r="D67" s="9" t="inlineStr">
        <is>
          <t>北海道士別市</t>
        </is>
      </c>
      <c r="E67" s="9" t="inlineStr">
        <is>
          <t>0165-23-2141</t>
        </is>
      </c>
      <c r="F67" s="9" t="inlineStr">
        <is>
          <t>士別・剣淵エリア統括</t>
        </is>
      </c>
      <c r="G67" s="9" t="inlineStr">
        <is>
          <t>肉牛・酪農家への労働力底上げ</t>
        </is>
      </c>
      <c r="H67" s="9" t="inlineStr">
        <is>
          <t>組合経由での労働力確保支援</t>
        </is>
      </c>
      <c r="I67" s="9" t="inlineStr">
        <is>
          <t>営農部</t>
        </is>
      </c>
      <c r="J67" s="9" t="inlineStr">
        <is>
          <t>担当者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JAびえい</t>
        </is>
      </c>
      <c r="D68" s="9" t="inlineStr">
        <is>
          <t>北海道上川郡美瑛町</t>
        </is>
      </c>
      <c r="E68" s="9" t="inlineStr">
        <is>
          <t>0166-92-3111</t>
        </is>
      </c>
      <c r="F68" s="9" t="inlineStr">
        <is>
          <t>美瑛エリアの農業統括</t>
        </is>
      </c>
      <c r="G68" s="9" t="inlineStr">
        <is>
          <t>畑作と畜産の複合経営支援</t>
        </is>
      </c>
      <c r="H68" s="9" t="inlineStr">
        <is>
          <t>多様な作業に対応できる人材の提案</t>
        </is>
      </c>
      <c r="I68" s="9" t="inlineStr">
        <is>
          <t>営農部</t>
        </is>
      </c>
      <c r="J68" s="9" t="inlineStr">
        <is>
          <t>担当者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JA当麻</t>
        </is>
      </c>
      <c r="D69" s="9" t="inlineStr">
        <is>
          <t>北海道上川郡当麻町</t>
        </is>
      </c>
      <c r="E69" s="9" t="inlineStr">
        <is>
          <t>0166-84-3311</t>
        </is>
      </c>
      <c r="F69" s="9" t="inlineStr">
        <is>
          <t>当麻エリアの農業統括</t>
        </is>
      </c>
      <c r="G69" s="9" t="inlineStr">
        <is>
          <t>安定した地域農業の担い手確保</t>
        </is>
      </c>
      <c r="H69" s="9" t="inlineStr">
        <is>
          <t>採用コストを抑えた人材紹介モデル</t>
        </is>
      </c>
      <c r="I69" s="9" t="inlineStr">
        <is>
          <t>営農部</t>
        </is>
      </c>
      <c r="J69" s="9" t="inlineStr">
        <is>
          <t>担当者</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ホクレン 旭川支所</t>
        </is>
      </c>
      <c r="D70" s="9" t="inlineStr">
        <is>
          <t>北海道旭川市</t>
        </is>
      </c>
      <c r="E70" s="9" t="inlineStr">
        <is>
          <t>0166-23-4171</t>
        </is>
      </c>
      <c r="F70" s="9" t="inlineStr">
        <is>
          <t>上川エリアのホクレン拠点</t>
        </is>
      </c>
      <c r="G70" s="9" t="inlineStr">
        <is>
          <t>広域エリアの流通を支える基盤</t>
        </is>
      </c>
      <c r="H70" s="9" t="inlineStr">
        <is>
          <t>人材確保モデルの情報提供</t>
        </is>
      </c>
      <c r="I70" s="9" t="inlineStr">
        <is>
          <t>管理部</t>
        </is>
      </c>
      <c r="J70" s="9" t="inlineStr">
        <is>
          <t>担当者</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9" t="inlineStr">
        <is>
          <t>道北</t>
        </is>
      </c>
      <c r="B71" s="9" t="inlineStr">
        <is>
          <t>ホクレン 稚内支所</t>
        </is>
      </c>
      <c r="D71" s="9" t="inlineStr">
        <is>
          <t>北海道稚内市</t>
        </is>
      </c>
      <c r="E71" s="9" t="inlineStr">
        <is>
          <t>0162-23-3456</t>
        </is>
      </c>
      <c r="F71" s="9" t="inlineStr">
        <is>
          <t>宗谷エリアのホクレン拠点</t>
        </is>
      </c>
      <c r="G71" s="9" t="inlineStr">
        <is>
          <t>酪農地帯における集約的支援</t>
        </is>
      </c>
      <c r="H71" s="9" t="inlineStr">
        <is>
          <t>メガファーム等への人材供給網構築</t>
        </is>
      </c>
      <c r="I71" s="9" t="inlineStr">
        <is>
          <t>管理部</t>
        </is>
      </c>
      <c r="J71" s="9" t="inlineStr">
        <is>
          <t>担当者</t>
        </is>
      </c>
      <c r="K71" s="9" t="inlineStr">
        <is>
          <t>不明</t>
        </is>
      </c>
      <c r="L71" s="9" t="inlineStr">
        <is>
          <t>未確認</t>
        </is>
      </c>
      <c r="Q71" s="9" t="inlineStr">
        <is>
          <t>未開拓</t>
        </is>
      </c>
      <c r="R71" s="9" t="inlineStr">
        <is>
          <t>ターゲット</t>
        </is>
      </c>
      <c r="S71" s="9" t="inlineStr">
        <is>
          <t>リストアップ</t>
        </is>
      </c>
      <c r="AG71" s="9" t="inlineStr">
        <is>
          <t>営業推進部</t>
        </is>
      </c>
      <c r="AH71" s="9" t="inlineStr">
        <is>
          <t>武田 悦郎</t>
        </is>
      </c>
      <c r="AN71" s="9" t="inlineStr">
        <is>
          <t>未定</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9" t="inlineStr">
        <is>
          <t>道北</t>
        </is>
      </c>
      <c r="B72" s="9" t="inlineStr">
        <is>
          <t>北海道農政事務所 旭川支局</t>
        </is>
      </c>
      <c r="D72" s="9" t="inlineStr">
        <is>
          <t>北海道旭川市</t>
        </is>
      </c>
      <c r="E72" s="9" t="inlineStr">
        <is>
          <t>0166-22-2615</t>
        </is>
      </c>
      <c r="F72" s="9" t="inlineStr">
        <is>
          <t>行政機関</t>
        </is>
      </c>
      <c r="G72" s="9" t="inlineStr">
        <is>
          <t>地域の畜産環境整備</t>
        </is>
      </c>
      <c r="H72" s="9" t="inlineStr">
        <is>
          <t>人材不足解消ソリューションとしての情報提供</t>
        </is>
      </c>
      <c r="I72" s="9" t="inlineStr">
        <is>
          <t>農政推進</t>
        </is>
      </c>
      <c r="J72" s="9" t="inlineStr">
        <is>
          <t>担当者</t>
        </is>
      </c>
      <c r="K72" s="9" t="inlineStr">
        <is>
          <t>不明</t>
        </is>
      </c>
      <c r="L72" s="9" t="inlineStr">
        <is>
          <t>未確認</t>
        </is>
      </c>
      <c r="Q72" s="9" t="inlineStr">
        <is>
          <t>未開拓</t>
        </is>
      </c>
      <c r="R72" s="9" t="inlineStr">
        <is>
          <t>ターゲット</t>
        </is>
      </c>
      <c r="S72" s="9" t="inlineStr">
        <is>
          <t>リストアップ</t>
        </is>
      </c>
      <c r="AG72" s="9" t="inlineStr">
        <is>
          <t>営業推進部</t>
        </is>
      </c>
      <c r="AH72" s="9" t="inlineStr">
        <is>
          <t>武田 悦郎</t>
        </is>
      </c>
      <c r="AN72" s="9" t="inlineStr">
        <is>
          <t>未定</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9" t="inlineStr">
        <is>
          <t>道北</t>
        </is>
      </c>
      <c r="B73" s="9" t="inlineStr">
        <is>
          <t>旭川市営牧場</t>
        </is>
      </c>
      <c r="D73" s="9" t="inlineStr">
        <is>
          <t>北海道旭川市</t>
        </is>
      </c>
      <c r="E73" s="9" t="inlineStr">
        <is>
          <t>0166-25-7427</t>
        </is>
      </c>
      <c r="F73" s="9" t="inlineStr">
        <is>
          <t>市営の公共牧場</t>
        </is>
      </c>
      <c r="G73" s="9" t="inlineStr">
        <is>
          <t>公共施設の放牧管理</t>
        </is>
      </c>
      <c r="H73" s="9" t="inlineStr">
        <is>
          <t>施設の安定稼働を即戦力で支援</t>
        </is>
      </c>
      <c r="I73" s="9" t="inlineStr">
        <is>
          <t>農林部</t>
        </is>
      </c>
      <c r="J73" s="9" t="inlineStr">
        <is>
          <t>管理者</t>
        </is>
      </c>
      <c r="K73" s="9" t="inlineStr">
        <is>
          <t>不明</t>
        </is>
      </c>
      <c r="L73" s="9" t="inlineStr">
        <is>
          <t>未確認</t>
        </is>
      </c>
      <c r="Q73" s="9" t="inlineStr">
        <is>
          <t>未開拓</t>
        </is>
      </c>
      <c r="R73" s="9" t="inlineStr">
        <is>
          <t>ターゲット</t>
        </is>
      </c>
      <c r="S73" s="9" t="inlineStr">
        <is>
          <t>リストアップ</t>
        </is>
      </c>
      <c r="AG73" s="9" t="inlineStr">
        <is>
          <t>営業推進部</t>
        </is>
      </c>
      <c r="AH73" s="9" t="inlineStr">
        <is>
          <t>武田 悦郎</t>
        </is>
      </c>
      <c r="AN73" s="9" t="inlineStr">
        <is>
          <t>未定</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9" t="inlineStr">
        <is>
          <t>道北</t>
        </is>
      </c>
      <c r="B74" s="9" t="inlineStr">
        <is>
          <t>士別市営天塩川牧場</t>
        </is>
      </c>
      <c r="D74" s="9" t="inlineStr">
        <is>
          <t>北海道士別市</t>
        </is>
      </c>
      <c r="E74" s="9" t="inlineStr">
        <is>
          <t>0165-23-3121</t>
        </is>
      </c>
      <c r="F74" s="9" t="inlineStr">
        <is>
          <t>市営の育成牧場</t>
        </is>
      </c>
      <c r="G74" s="9" t="inlineStr">
        <is>
          <t>預託牛の体調管理</t>
        </is>
      </c>
      <c r="H74" s="9" t="inlineStr">
        <is>
          <t>育成牛の飼養管理をサポート</t>
        </is>
      </c>
      <c r="I74" s="9" t="inlineStr">
        <is>
          <t>農林課</t>
        </is>
      </c>
      <c r="J74" s="9" t="inlineStr">
        <is>
          <t>管理者</t>
        </is>
      </c>
      <c r="K74" s="9" t="inlineStr">
        <is>
          <t>不明</t>
        </is>
      </c>
      <c r="L74" s="9" t="inlineStr">
        <is>
          <t>未確認</t>
        </is>
      </c>
      <c r="Q74" s="9" t="inlineStr">
        <is>
          <t>未開拓</t>
        </is>
      </c>
      <c r="R74" s="9" t="inlineStr">
        <is>
          <t>ターゲット</t>
        </is>
      </c>
      <c r="S74" s="9" t="inlineStr">
        <is>
          <t>リストアップ</t>
        </is>
      </c>
      <c r="AG74" s="9" t="inlineStr">
        <is>
          <t>営業推進部</t>
        </is>
      </c>
      <c r="AH74" s="9" t="inlineStr">
        <is>
          <t>武田 悦郎</t>
        </is>
      </c>
      <c r="AN74" s="9" t="inlineStr">
        <is>
          <t>未定</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9" t="inlineStr">
        <is>
          <t>道北</t>
        </is>
      </c>
      <c r="B75" s="9" t="inlineStr">
        <is>
          <t>豊富町営牧場</t>
        </is>
      </c>
      <c r="D75" s="9" t="inlineStr">
        <is>
          <t>北海道天塩郡豊富町</t>
        </is>
      </c>
      <c r="E75" s="9" t="inlineStr">
        <is>
          <t>0162-82-1001</t>
        </is>
      </c>
      <c r="F75" s="9" t="inlineStr">
        <is>
          <t>町営の公共牧場</t>
        </is>
      </c>
      <c r="G75" s="9" t="inlineStr">
        <is>
          <t>大規模な牧草地の維持</t>
        </is>
      </c>
      <c r="H75" s="9" t="inlineStr">
        <is>
          <t>採用コスト不要の即戦力人材</t>
        </is>
      </c>
      <c r="I75" s="9" t="inlineStr">
        <is>
          <t>農林水産課</t>
        </is>
      </c>
      <c r="J75" s="9" t="inlineStr">
        <is>
          <t>管理者</t>
        </is>
      </c>
      <c r="K75" s="9" t="inlineStr">
        <is>
          <t>不明</t>
        </is>
      </c>
      <c r="L75" s="9" t="inlineStr">
        <is>
          <t>未確認</t>
        </is>
      </c>
      <c r="Q75" s="9" t="inlineStr">
        <is>
          <t>未開拓</t>
        </is>
      </c>
      <c r="R75" s="9" t="inlineStr">
        <is>
          <t>ターゲット</t>
        </is>
      </c>
      <c r="S75" s="9" t="inlineStr">
        <is>
          <t>リストアップ</t>
        </is>
      </c>
      <c r="AG75" s="9" t="inlineStr">
        <is>
          <t>営業推進部</t>
        </is>
      </c>
      <c r="AH75" s="9" t="inlineStr">
        <is>
          <t>武田 悦郎</t>
        </is>
      </c>
      <c r="AN75" s="9" t="inlineStr">
        <is>
          <t>未定</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9" t="inlineStr">
        <is>
          <t>道北</t>
        </is>
      </c>
      <c r="B76" s="9" t="inlineStr">
        <is>
          <t>猿払村営牧場</t>
        </is>
      </c>
      <c r="D76" s="9" t="inlineStr">
        <is>
          <t>北海道宗谷郡猿払村</t>
        </is>
      </c>
      <c r="E76" s="9" t="inlineStr">
        <is>
          <t>01635-2-3131</t>
        </is>
      </c>
      <c r="F76" s="9" t="inlineStr">
        <is>
          <t>村営の公共牧場</t>
        </is>
      </c>
      <c r="G76" s="9" t="inlineStr">
        <is>
          <t>酪農家からの育成牛管理</t>
        </is>
      </c>
      <c r="H76" s="9" t="inlineStr">
        <is>
          <t>育成牛管理における人員確保</t>
        </is>
      </c>
      <c r="I76" s="9" t="inlineStr">
        <is>
          <t>農林課</t>
        </is>
      </c>
      <c r="J76" s="9" t="inlineStr">
        <is>
          <t>管理者</t>
        </is>
      </c>
      <c r="K76" s="9" t="inlineStr">
        <is>
          <t>不明</t>
        </is>
      </c>
      <c r="L76" s="9" t="inlineStr">
        <is>
          <t>未確認</t>
        </is>
      </c>
      <c r="Q76" s="9" t="inlineStr">
        <is>
          <t>未開拓</t>
        </is>
      </c>
      <c r="R76" s="9" t="inlineStr">
        <is>
          <t>ターゲット</t>
        </is>
      </c>
      <c r="S76" s="9" t="inlineStr">
        <is>
          <t>リストアップ</t>
        </is>
      </c>
      <c r="AG76" s="9" t="inlineStr">
        <is>
          <t>営業推進部</t>
        </is>
      </c>
      <c r="AH76" s="9" t="inlineStr">
        <is>
          <t>武田 悦郎</t>
        </is>
      </c>
      <c r="AN76" s="9" t="inlineStr">
        <is>
          <t>未定</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9" t="inlineStr">
        <is>
          <t>道北</t>
        </is>
      </c>
      <c r="B77" s="9" t="inlineStr">
        <is>
          <t>名寄市営牧場</t>
        </is>
      </c>
      <c r="D77" s="9" t="inlineStr">
        <is>
          <t>北海道名寄市</t>
        </is>
      </c>
      <c r="E77" s="9" t="inlineStr">
        <is>
          <t>01654-3-2111</t>
        </is>
      </c>
      <c r="F77" s="9" t="inlineStr">
        <is>
          <t>市営の公共牧場</t>
        </is>
      </c>
      <c r="G77" s="9" t="inlineStr">
        <is>
          <t>施設の労働力確保</t>
        </is>
      </c>
      <c r="H77" s="9" t="inlineStr">
        <is>
          <t>施設管理を即戦力として担う人材提供</t>
        </is>
      </c>
      <c r="I77" s="9" t="inlineStr">
        <is>
          <t>農務課</t>
        </is>
      </c>
      <c r="J77" s="9" t="inlineStr">
        <is>
          <t>管理者</t>
        </is>
      </c>
      <c r="K77" s="9" t="inlineStr">
        <is>
          <t>不明</t>
        </is>
      </c>
      <c r="L77" s="9" t="inlineStr">
        <is>
          <t>未確認</t>
        </is>
      </c>
      <c r="Q77" s="9" t="inlineStr">
        <is>
          <t>未開拓</t>
        </is>
      </c>
      <c r="R77" s="9" t="inlineStr">
        <is>
          <t>ターゲット</t>
        </is>
      </c>
      <c r="S77" s="9" t="inlineStr">
        <is>
          <t>リストアップ</t>
        </is>
      </c>
      <c r="AG77" s="9" t="inlineStr">
        <is>
          <t>営業推進部</t>
        </is>
      </c>
      <c r="AH77" s="9" t="inlineStr">
        <is>
          <t>武田 悦郎</t>
        </is>
      </c>
      <c r="AN77" s="9" t="inlineStr">
        <is>
          <t>未定</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9" t="inlineStr">
        <is>
          <t>道北</t>
        </is>
      </c>
      <c r="B78" s="9" t="inlineStr">
        <is>
          <t>剣淵町営牧場</t>
        </is>
      </c>
      <c r="D78" s="9" t="inlineStr">
        <is>
          <t>北海道上川郡剣淵町</t>
        </is>
      </c>
      <c r="E78" s="9" t="inlineStr">
        <is>
          <t>0165-34-2121</t>
        </is>
      </c>
      <c r="F78" s="9" t="inlineStr">
        <is>
          <t>町営の公共牧場</t>
        </is>
      </c>
      <c r="G78" s="9" t="inlineStr">
        <is>
          <t>放牧期間中の施設管理</t>
        </is>
      </c>
      <c r="H78" s="9" t="inlineStr">
        <is>
          <t>公共施設の安定稼働支援</t>
        </is>
      </c>
      <c r="I78" s="9" t="inlineStr">
        <is>
          <t>農政課</t>
        </is>
      </c>
      <c r="J78" s="9" t="inlineStr">
        <is>
          <t>管理者</t>
        </is>
      </c>
      <c r="K78" s="9" t="inlineStr">
        <is>
          <t>不明</t>
        </is>
      </c>
      <c r="L78" s="9" t="inlineStr">
        <is>
          <t>未確認</t>
        </is>
      </c>
      <c r="Q78" s="9" t="inlineStr">
        <is>
          <t>未開拓</t>
        </is>
      </c>
      <c r="R78" s="9" t="inlineStr">
        <is>
          <t>ターゲット</t>
        </is>
      </c>
      <c r="S78" s="9" t="inlineStr">
        <is>
          <t>リストアップ</t>
        </is>
      </c>
      <c r="AG78" s="9" t="inlineStr">
        <is>
          <t>営業推進部</t>
        </is>
      </c>
      <c r="AH78" s="9" t="inlineStr">
        <is>
          <t>武田 悦郎</t>
        </is>
      </c>
      <c r="AN78" s="9" t="inlineStr">
        <is>
          <t>未定</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9" t="inlineStr">
        <is>
          <t>道北</t>
        </is>
      </c>
      <c r="B79" s="9" t="inlineStr">
        <is>
          <t>天塩町営牧場</t>
        </is>
      </c>
      <c r="D79" s="9" t="inlineStr">
        <is>
          <t>北海道天塩郡天塩町</t>
        </is>
      </c>
      <c r="E79" s="9" t="inlineStr">
        <is>
          <t>01632-2-1001</t>
        </is>
      </c>
      <c r="F79" s="9" t="inlineStr">
        <is>
          <t>町営の公共牧場</t>
        </is>
      </c>
      <c r="G79" s="9" t="inlineStr">
        <is>
          <t>広域な牧草地の管理作業</t>
        </is>
      </c>
      <c r="H79" s="9" t="inlineStr">
        <is>
          <t>採用コストゼロで柔軟な即戦力</t>
        </is>
      </c>
      <c r="I79" s="9" t="inlineStr">
        <is>
          <t>農林水産課</t>
        </is>
      </c>
      <c r="J79" s="9" t="inlineStr">
        <is>
          <t>管理者</t>
        </is>
      </c>
      <c r="K79" s="9" t="inlineStr">
        <is>
          <t>不明</t>
        </is>
      </c>
      <c r="L79" s="9" t="inlineStr">
        <is>
          <t>未確認</t>
        </is>
      </c>
      <c r="Q79" s="9" t="inlineStr">
        <is>
          <t>未開拓</t>
        </is>
      </c>
      <c r="R79" s="9" t="inlineStr">
        <is>
          <t>ターゲット</t>
        </is>
      </c>
      <c r="S79" s="9" t="inlineStr">
        <is>
          <t>リストアップ</t>
        </is>
      </c>
      <c r="AG79" s="9" t="inlineStr">
        <is>
          <t>営業推進部</t>
        </is>
      </c>
      <c r="AH79" s="9" t="inlineStr">
        <is>
          <t>武田 悦郎</t>
        </is>
      </c>
      <c r="AN79" s="9" t="inlineStr">
        <is>
          <t>未定</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9" t="inlineStr">
        <is>
          <t>道北</t>
        </is>
      </c>
      <c r="B80" s="9" t="inlineStr">
        <is>
          <t>幌延町営牧場</t>
        </is>
      </c>
      <c r="D80" s="9" t="inlineStr">
        <is>
          <t>北海道天塩郡幌延町</t>
        </is>
      </c>
      <c r="E80" s="9" t="inlineStr">
        <is>
          <t>01632-5-1111</t>
        </is>
      </c>
      <c r="F80" s="9" t="inlineStr">
        <is>
          <t>町営の公共牧場</t>
        </is>
      </c>
      <c r="G80" s="9" t="inlineStr">
        <is>
          <t>安定した育成環境の維持</t>
        </is>
      </c>
      <c r="H80" s="9" t="inlineStr">
        <is>
          <t>即戦力を配置しオペレーション実現</t>
        </is>
      </c>
      <c r="I80" s="9" t="inlineStr">
        <is>
          <t>産業振興課</t>
        </is>
      </c>
      <c r="J80" s="9" t="inlineStr">
        <is>
          <t>管理者</t>
        </is>
      </c>
      <c r="K80" s="9" t="inlineStr">
        <is>
          <t>不明</t>
        </is>
      </c>
      <c r="L80" s="9" t="inlineStr">
        <is>
          <t>未確認</t>
        </is>
      </c>
      <c r="Q80" s="9" t="inlineStr">
        <is>
          <t>未開拓</t>
        </is>
      </c>
      <c r="R80" s="9" t="inlineStr">
        <is>
          <t>ターゲット</t>
        </is>
      </c>
      <c r="S80" s="9" t="inlineStr">
        <is>
          <t>リストアップ</t>
        </is>
      </c>
      <c r="AG80" s="9" t="inlineStr">
        <is>
          <t>営業推進部</t>
        </is>
      </c>
      <c r="AH80" s="9" t="inlineStr">
        <is>
          <t>武田 悦郎</t>
        </is>
      </c>
      <c r="AN80" s="9" t="inlineStr">
        <is>
          <t>未定</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9" t="inlineStr">
        <is>
          <t>道北</t>
        </is>
      </c>
      <c r="B81" s="9" t="inlineStr">
        <is>
          <t>上川町営牧場</t>
        </is>
      </c>
      <c r="D81" s="9" t="inlineStr">
        <is>
          <t>北海道上川郡上川町</t>
        </is>
      </c>
      <c r="E81" s="9" t="inlineStr">
        <is>
          <t>01658-2-4051</t>
        </is>
      </c>
      <c r="F81" s="9" t="inlineStr">
        <is>
          <t>町営の公共牧場</t>
        </is>
      </c>
      <c r="G81" s="9" t="inlineStr">
        <is>
          <t>自然環境下での牛群管理</t>
        </is>
      </c>
      <c r="H81" s="9" t="inlineStr">
        <is>
          <t>飼養管理をサポートする定住型人材</t>
        </is>
      </c>
      <c r="I81" s="9" t="inlineStr">
        <is>
          <t>農林課</t>
        </is>
      </c>
      <c r="J81" s="9" t="inlineStr">
        <is>
          <t>管理者</t>
        </is>
      </c>
      <c r="K81" s="9" t="inlineStr">
        <is>
          <t>不明</t>
        </is>
      </c>
      <c r="L81" s="9" t="inlineStr">
        <is>
          <t>未確認</t>
        </is>
      </c>
      <c r="Q81" s="9" t="inlineStr">
        <is>
          <t>未開拓</t>
        </is>
      </c>
      <c r="R81" s="9" t="inlineStr">
        <is>
          <t>ターゲット</t>
        </is>
      </c>
      <c r="S81" s="9" t="inlineStr">
        <is>
          <t>リストアップ</t>
        </is>
      </c>
      <c r="AG81" s="9" t="inlineStr">
        <is>
          <t>営業推進部</t>
        </is>
      </c>
      <c r="AH81" s="9" t="inlineStr">
        <is>
          <t>武田 悦郎</t>
        </is>
      </c>
      <c r="AN81" s="9" t="inlineStr">
        <is>
          <t>未定</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9" t="inlineStr">
        <is>
          <t>道北</t>
        </is>
      </c>
      <c r="B82" s="9" t="inlineStr">
        <is>
          <t>鷹栖町営牧場</t>
        </is>
      </c>
      <c r="D82" s="9" t="inlineStr">
        <is>
          <t>北海道上川郡鷹栖町</t>
        </is>
      </c>
      <c r="E82" s="9" t="inlineStr">
        <is>
          <t>0166-87-2111</t>
        </is>
      </c>
      <c r="F82" s="9" t="inlineStr">
        <is>
          <t>町営の公共牧場</t>
        </is>
      </c>
      <c r="G82" s="9" t="inlineStr">
        <is>
          <t>都市近郊での人材獲得競争</t>
        </is>
      </c>
      <c r="H82" s="9" t="inlineStr">
        <is>
          <t>コストをかけずに即戦力を確保</t>
        </is>
      </c>
      <c r="I82" s="9" t="inlineStr">
        <is>
          <t>農業委員会</t>
        </is>
      </c>
      <c r="J82" s="9" t="inlineStr">
        <is>
          <t>管理者</t>
        </is>
      </c>
      <c r="K82" s="9" t="inlineStr">
        <is>
          <t>不明</t>
        </is>
      </c>
      <c r="L82" s="9" t="inlineStr">
        <is>
          <t>未確認</t>
        </is>
      </c>
      <c r="Q82" s="9" t="inlineStr">
        <is>
          <t>未開拓</t>
        </is>
      </c>
      <c r="R82" s="9" t="inlineStr">
        <is>
          <t>ターゲット</t>
        </is>
      </c>
      <c r="S82" s="9" t="inlineStr">
        <is>
          <t>リストアップ</t>
        </is>
      </c>
      <c r="AG82" s="9" t="inlineStr">
        <is>
          <t>営業推進部</t>
        </is>
      </c>
      <c r="AH82" s="9" t="inlineStr">
        <is>
          <t>武田 悦郎</t>
        </is>
      </c>
      <c r="AN82" s="9" t="inlineStr">
        <is>
          <t>未定</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9" t="inlineStr">
        <is>
          <t>道北</t>
        </is>
      </c>
      <c r="B83" s="9" t="inlineStr">
        <is>
          <t>和寒町営牧場</t>
        </is>
      </c>
      <c r="D83" s="9" t="inlineStr">
        <is>
          <t>北海道上川郡和寒町</t>
        </is>
      </c>
      <c r="E83" s="9" t="inlineStr">
        <is>
          <t>0165-32-2421</t>
        </is>
      </c>
      <c r="F83" s="9" t="inlineStr">
        <is>
          <t>町営の公共牧場</t>
        </is>
      </c>
      <c r="G83" s="9" t="inlineStr">
        <is>
          <t>夏季放牧管理の省力化</t>
        </is>
      </c>
      <c r="H83" s="9" t="inlineStr">
        <is>
          <t>安定稼働を即戦力で支援</t>
        </is>
      </c>
      <c r="I83" s="9" t="inlineStr">
        <is>
          <t>産業振興課</t>
        </is>
      </c>
      <c r="J83" s="9" t="inlineStr">
        <is>
          <t>管理者</t>
        </is>
      </c>
      <c r="K83" s="9" t="inlineStr">
        <is>
          <t>不明</t>
        </is>
      </c>
      <c r="L83" s="9" t="inlineStr">
        <is>
          <t>未確認</t>
        </is>
      </c>
      <c r="Q83" s="9" t="inlineStr">
        <is>
          <t>未開拓</t>
        </is>
      </c>
      <c r="R83" s="9" t="inlineStr">
        <is>
          <t>ターゲット</t>
        </is>
      </c>
      <c r="S83" s="9" t="inlineStr">
        <is>
          <t>リストアップ</t>
        </is>
      </c>
      <c r="AG83" s="9" t="inlineStr">
        <is>
          <t>営業推進部</t>
        </is>
      </c>
      <c r="AH83" s="9" t="inlineStr">
        <is>
          <t>武田 悦郎</t>
        </is>
      </c>
      <c r="AN83" s="9" t="inlineStr">
        <is>
          <t>未定</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9" t="inlineStr">
        <is>
          <t>道北</t>
        </is>
      </c>
      <c r="B84" s="9" t="inlineStr">
        <is>
          <t>有限会社きしかわ畜産</t>
        </is>
      </c>
      <c r="D84" s="9" t="inlineStr">
        <is>
          <t>北海道名寄市</t>
        </is>
      </c>
      <c r="E84" s="9" t="inlineStr">
        <is>
          <t>01654-2-2555</t>
        </is>
      </c>
      <c r="F84" s="9" t="inlineStr">
        <is>
          <t>素牛農家</t>
        </is>
      </c>
      <c r="G84" s="9" t="inlineStr">
        <is>
          <t>現場作業の効率化</t>
        </is>
      </c>
      <c r="H84" s="9" t="inlineStr">
        <is>
          <t>若手人材の紹介による基盤提供</t>
        </is>
      </c>
      <c r="I84" s="9" t="inlineStr">
        <is>
          <t>経営陣</t>
        </is>
      </c>
      <c r="J84" s="9" t="inlineStr">
        <is>
          <t>代表</t>
        </is>
      </c>
      <c r="K84" s="9" t="inlineStr">
        <is>
          <t>不明</t>
        </is>
      </c>
      <c r="L84" s="9" t="inlineStr">
        <is>
          <t>未確認</t>
        </is>
      </c>
      <c r="Q84" s="9" t="inlineStr">
        <is>
          <t>未開拓</t>
        </is>
      </c>
      <c r="R84" s="9" t="inlineStr">
        <is>
          <t>ターゲット</t>
        </is>
      </c>
      <c r="S84" s="9" t="inlineStr">
        <is>
          <t>リストアップ</t>
        </is>
      </c>
      <c r="AG84" s="9" t="inlineStr">
        <is>
          <t>営業推進部</t>
        </is>
      </c>
      <c r="AH84" s="9" t="inlineStr">
        <is>
          <t>武田 悦郎</t>
        </is>
      </c>
      <c r="AN84" s="9" t="inlineStr">
        <is>
          <t>未定</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9" t="inlineStr">
        <is>
          <t>道北</t>
        </is>
      </c>
      <c r="B85" s="9" t="inlineStr">
        <is>
          <t>株式会社大雪牧場</t>
        </is>
      </c>
      <c r="D85" s="9" t="inlineStr">
        <is>
          <t>北海道上川郡上川町</t>
        </is>
      </c>
      <c r="E85" s="9" t="inlineStr">
        <is>
          <t>不明</t>
        </is>
      </c>
      <c r="F85" s="9" t="inlineStr">
        <is>
          <t>肉牛・乳牛生産</t>
        </is>
      </c>
      <c r="G85" s="9" t="inlineStr">
        <is>
          <t>多頭数飼育における日常業務</t>
        </is>
      </c>
      <c r="H85" s="9" t="inlineStr">
        <is>
          <t>給餌・清掃を担う即戦力人材</t>
        </is>
      </c>
      <c r="I85" s="9" t="inlineStr">
        <is>
          <t>経営陣</t>
        </is>
      </c>
      <c r="J85" s="9" t="inlineStr">
        <is>
          <t>代表</t>
        </is>
      </c>
      <c r="K85" s="9" t="inlineStr">
        <is>
          <t>不明</t>
        </is>
      </c>
      <c r="L85" s="9" t="inlineStr">
        <is>
          <t>未確認</t>
        </is>
      </c>
      <c r="Q85" s="9" t="inlineStr">
        <is>
          <t>未開拓</t>
        </is>
      </c>
      <c r="R85" s="9" t="inlineStr">
        <is>
          <t>ターゲット</t>
        </is>
      </c>
      <c r="S85" s="9" t="inlineStr">
        <is>
          <t>リストアップ</t>
        </is>
      </c>
      <c r="AG85" s="9" t="inlineStr">
        <is>
          <t>営業推進部</t>
        </is>
      </c>
      <c r="AH85" s="9" t="inlineStr">
        <is>
          <t>武田 悦郎</t>
        </is>
      </c>
      <c r="AN85" s="9" t="inlineStr">
        <is>
          <t>未定</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道東(網走)</t>
        </is>
      </c>
      <c r="B86" s="15" t="inlineStr">
        <is>
          <t>株式会社楠目牧場</t>
        </is>
      </c>
      <c r="C86" s="15" t="inlineStr"/>
      <c r="D86" s="15" t="inlineStr">
        <is>
          <t>北海道網走市字潮見213番地</t>
        </is>
      </c>
      <c r="E86" s="15" t="inlineStr">
        <is>
          <t>※要確認</t>
        </is>
      </c>
      <c r="F86" s="15" t="inlineStr">
        <is>
          <t>網走市の畜産経営/オホーツク海近郊</t>
        </is>
      </c>
      <c r="G86" s="15" t="inlineStr">
        <is>
          <t>労働力確保と日常飼養管理</t>
        </is>
      </c>
      <c r="H86" s="15" t="inlineStr">
        <is>
          <t>採用コストを抑えた即戦力人材の提供</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道東(網走)</t>
        </is>
      </c>
      <c r="B87" s="15" t="inlineStr">
        <is>
          <t>有限会社網走原生牧場観光センター</t>
        </is>
      </c>
      <c r="C87" s="16" t="inlineStr">
        <is>
          <t>http://www.genseibokujou.co.jp/</t>
        </is>
      </c>
      <c r="D87" s="15" t="inlineStr">
        <is>
          <t>北海道網走市藻琴225番地</t>
        </is>
      </c>
      <c r="E87" s="15" t="inlineStr">
        <is>
          <t>0152-46-2121</t>
        </is>
      </c>
      <c r="F87" s="15" t="inlineStr">
        <is>
          <t>観光牧場/乗馬体験/ホーストレッキング</t>
        </is>
      </c>
      <c r="G87" s="15" t="inlineStr">
        <is>
          <t>観光対応と飼養管理の両立</t>
        </is>
      </c>
      <c r="H87" s="15" t="inlineStr">
        <is>
          <t>バックヤード飼育を即戦力に任せ、接客・観光サービスに注力できる体制構築</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A88" s="15" t="inlineStr">
        <is>
          <t>道東(北見)</t>
        </is>
      </c>
      <c r="B88" s="15" t="inlineStr">
        <is>
          <t>株式会社協同畜産経営センター</t>
        </is>
      </c>
      <c r="C88" s="16" t="inlineStr">
        <is>
          <t>https://www.hokkaido-pork.jp/farm/feedone/farm_kyodo/</t>
        </is>
      </c>
      <c r="D88" s="15" t="inlineStr">
        <is>
          <t>北海道北見市大正763番地</t>
        </is>
      </c>
      <c r="E88" s="15" t="inlineStr">
        <is>
          <t>0157-36-6006</t>
        </is>
      </c>
      <c r="F88" s="15" t="inlineStr">
        <is>
          <t>オニオンポーク生産/繁殖550頭一貫生産</t>
        </is>
      </c>
      <c r="G88" s="15" t="inlineStr">
        <is>
          <t>大規模養豚における安定的な人員配置</t>
        </is>
      </c>
      <c r="H88" s="15" t="inlineStr">
        <is>
          <t>養豚現場で即戦力となる特定技能人材の配置でブランド維持を支援</t>
        </is>
      </c>
      <c r="AQ88">
        <f>COUNTIFS(加電履歴!$F:$F,B88,加電履歴!$E:$E,"畜種農業")</f>
        <v/>
      </c>
      <c r="AR88" s="10">
        <f>IFERROR(IF(COUNTIFS(加電履歴!$F:$F,B88,加電履歴!$E:$E,"畜種農業")=0,"",MAXIFS(加電履歴!$B:$B,加電履歴!$F:$F,B88,加電履歴!$E:$E,"畜種農業")),"")</f>
        <v/>
      </c>
      <c r="AS88">
        <f>IFERROR(IF(COUNTIFS(加電履歴!$F:$F,B88,加電履歴!$E:$E,"畜種農業")=0,"",INDEX(加電履歴!$I:$I,MATCH(1,(加電履歴!$F:$F=B88)*(加電履歴!$E:$E="畜種農業")*(加電履歴!$B:$B=MAXIFS(加電履歴!$B:$B,加電履歴!$F:$F,B88,加電履歴!$E:$E,"畜種農業")),0))),"")</f>
        <v/>
      </c>
    </row>
    <row r="89">
      <c r="A89" s="15" t="inlineStr">
        <is>
          <t>道東(北見)</t>
        </is>
      </c>
      <c r="B89" s="15" t="inlineStr">
        <is>
          <t>株式会社北きつね牧場</t>
        </is>
      </c>
      <c r="C89" s="16" t="inlineStr">
        <is>
          <t>https://kitakitsune-farm.com/</t>
        </is>
      </c>
      <c r="D89" s="15" t="inlineStr">
        <is>
          <t>北海道北見市留辺蘂町花丘52-1</t>
        </is>
      </c>
      <c r="E89" s="15" t="inlineStr">
        <is>
          <t>0157-45-2249</t>
        </is>
      </c>
      <c r="F89" s="15" t="inlineStr">
        <is>
          <t>観光牧場/キタキツネ・エゾタヌキ飼育</t>
        </is>
      </c>
      <c r="G89" s="15" t="inlineStr">
        <is>
          <t>観光来場者対応と動物飼育の兼務</t>
        </is>
      </c>
      <c r="H89" s="15" t="inlineStr">
        <is>
          <t>飼育管理を即戦力が担い、接客・施設運営に注力できる体制構築</t>
        </is>
      </c>
      <c r="AQ89">
        <f>COUNTIFS(加電履歴!$F:$F,B89,加電履歴!$E:$E,"畜種農業")</f>
        <v/>
      </c>
      <c r="AR89" s="10">
        <f>IFERROR(IF(COUNTIFS(加電履歴!$F:$F,B89,加電履歴!$E:$E,"畜種農業")=0,"",MAXIFS(加電履歴!$B:$B,加電履歴!$F:$F,B89,加電履歴!$E:$E,"畜種農業")),"")</f>
        <v/>
      </c>
      <c r="AS89">
        <f>IFERROR(IF(COUNTIFS(加電履歴!$F:$F,B89,加電履歴!$E:$E,"畜種農業")=0,"",INDEX(加電履歴!$I:$I,MATCH(1,(加電履歴!$F:$F=B89)*(加電履歴!$E:$E="畜種農業")*(加電履歴!$B:$B=MAXIFS(加電履歴!$B:$B,加電履歴!$F:$F,B89,加電履歴!$E:$E,"畜種農業")),0))),"")</f>
        <v/>
      </c>
    </row>
    <row r="90">
      <c r="A90" s="15" t="inlineStr">
        <is>
          <t>道東(美幌)</t>
        </is>
      </c>
      <c r="B90" s="15" t="inlineStr">
        <is>
          <t>株式会社美幌牛肥育センター</t>
        </is>
      </c>
      <c r="C90" s="16" t="inlineStr">
        <is>
          <t>http://www.bihoro-gyu.com/</t>
        </is>
      </c>
      <c r="D90" s="15" t="inlineStr">
        <is>
          <t>北海道網走郡美幌町字都橋211番地</t>
        </is>
      </c>
      <c r="E90" s="15" t="inlineStr">
        <is>
          <t>0152-72-3373</t>
        </is>
      </c>
      <c r="F90" s="15" t="inlineStr">
        <is>
          <t>ブランド牛「びほろ牛」肥育/肉牛飼育・販売・堆肥販売</t>
        </is>
      </c>
      <c r="G90" s="15" t="inlineStr">
        <is>
          <t>ブランド維持のための丁寧な肥育管理と人員確保</t>
        </is>
      </c>
      <c r="H90" s="15" t="inlineStr">
        <is>
          <t>肥育ルーティンを即戦力で支援しブランド維持に貢献</t>
        </is>
      </c>
      <c r="AQ90">
        <f>COUNTIFS(加電履歴!$F:$F,B90,加電履歴!$E:$E,"畜種農業")</f>
        <v/>
      </c>
      <c r="AR90" s="10">
        <f>IFERROR(IF(COUNTIFS(加電履歴!$F:$F,B90,加電履歴!$E:$E,"畜種農業")=0,"",MAXIFS(加電履歴!$B:$B,加電履歴!$F:$F,B90,加電履歴!$E:$E,"畜種農業")),"")</f>
        <v/>
      </c>
      <c r="AS90">
        <f>IFERROR(IF(COUNTIFS(加電履歴!$F:$F,B90,加電履歴!$E:$E,"畜種農業")=0,"",INDEX(加電履歴!$I:$I,MATCH(1,(加電履歴!$F:$F=B90)*(加電履歴!$E:$E="畜種農業")*(加電履歴!$B:$B=MAXIFS(加電履歴!$B:$B,加電履歴!$F:$F,B90,加電履歴!$E:$E,"畜種農業")),0))),"")</f>
        <v/>
      </c>
    </row>
    <row r="91">
      <c r="A91" s="15" t="inlineStr">
        <is>
          <t>道東(美幌)</t>
        </is>
      </c>
      <c r="B91" s="15" t="inlineStr">
        <is>
          <t>株式会社美幌ファーム</t>
        </is>
      </c>
      <c r="C91" s="15" t="inlineStr">
        <is>
          <t>※要確認</t>
        </is>
      </c>
      <c r="D91" s="15" t="inlineStr">
        <is>
          <t>北海道網走郡美幌町 ※詳細要確認</t>
        </is>
      </c>
      <c r="E91" s="15" t="inlineStr">
        <is>
          <t>※要確認</t>
        </is>
      </c>
      <c r="F91" s="15" t="inlineStr">
        <is>
          <t>びほろ牛の素牛育成(6-12カ月齢)/美幌牛肥育センター系列</t>
        </is>
      </c>
      <c r="G91" s="15" t="inlineStr">
        <is>
          <t>グループ会社との連携と素牛育成の労働力確保</t>
        </is>
      </c>
      <c r="H91" s="15" t="inlineStr">
        <is>
          <t>系列会社と一体での人材紹介、安定した育成オペレーション支援</t>
        </is>
      </c>
      <c r="AQ91">
        <f>COUNTIFS(加電履歴!$F:$F,B91,加電履歴!$E:$E,"畜種農業")</f>
        <v/>
      </c>
      <c r="AR91" s="10">
        <f>IFERROR(IF(COUNTIFS(加電履歴!$F:$F,B91,加電履歴!$E:$E,"畜種農業")=0,"",MAXIFS(加電履歴!$B:$B,加電履歴!$F:$F,B91,加電履歴!$E:$E,"畜種農業")),"")</f>
        <v/>
      </c>
      <c r="AS91">
        <f>IFERROR(IF(COUNTIFS(加電履歴!$F:$F,B91,加電履歴!$E:$E,"畜種農業")=0,"",INDEX(加電履歴!$I:$I,MATCH(1,(加電履歴!$F:$F=B91)*(加電履歴!$E:$E="畜種農業")*(加電履歴!$B:$B=MAXIFS(加電履歴!$B:$B,加電履歴!$F:$F,B91,加電履歴!$E:$E,"畜種農業")),0))),"")</f>
        <v/>
      </c>
    </row>
    <row r="92">
      <c r="A92" s="15" t="inlineStr">
        <is>
          <t>道東(斜里)</t>
        </is>
      </c>
      <c r="B92" s="15" t="inlineStr">
        <is>
          <t>有限会社佐々木種畜牧場</t>
        </is>
      </c>
      <c r="C92" s="16" t="inlineStr">
        <is>
          <t>https://sasaki-web.net/</t>
        </is>
      </c>
      <c r="D92" s="15" t="inlineStr">
        <is>
          <t>北海道斜里郡斜里町字美咲69</t>
        </is>
      </c>
      <c r="E92" s="15" t="inlineStr">
        <is>
          <t>0152-23-0429</t>
        </is>
      </c>
      <c r="F92" s="15" t="inlineStr">
        <is>
          <t>サチク麦王ブランド豚/麦主体飼料/直売店併設</t>
        </is>
      </c>
      <c r="G92" s="15" t="inlineStr">
        <is>
          <t>養豚と直売店の両立</t>
        </is>
      </c>
      <c r="H92" s="15" t="inlineStr">
        <is>
          <t>養豚現場の即戦力配置で代表が販売・加工に注力できる体制構築</t>
        </is>
      </c>
      <c r="AQ92">
        <f>COUNTIFS(加電履歴!$F:$F,B92,加電履歴!$E:$E,"畜種農業")</f>
        <v/>
      </c>
      <c r="AR92" s="10">
        <f>IFERROR(IF(COUNTIFS(加電履歴!$F:$F,B92,加電履歴!$E:$E,"畜種農業")=0,"",MAXIFS(加電履歴!$B:$B,加電履歴!$F:$F,B92,加電履歴!$E:$E,"畜種農業")),"")</f>
        <v/>
      </c>
      <c r="AS92">
        <f>IFERROR(IF(COUNTIFS(加電履歴!$F:$F,B92,加電履歴!$E:$E,"畜種農業")=0,"",INDEX(加電履歴!$I:$I,MATCH(1,(加電履歴!$F:$F=B92)*(加電履歴!$E:$E="畜種農業")*(加電履歴!$B:$B=MAXIFS(加電履歴!$B:$B,加電履歴!$F:$F,B92,加電履歴!$E:$E,"畜種農業")),0))),"")</f>
        <v/>
      </c>
    </row>
    <row r="93">
      <c r="A93" s="15" t="inlineStr">
        <is>
          <t>道東(網走)</t>
        </is>
      </c>
      <c r="B93" s="15" t="inlineStr">
        <is>
          <t>株式会社オホーツクファーム33</t>
        </is>
      </c>
      <c r="C93" s="15" t="inlineStr"/>
      <c r="D93" s="15" t="inlineStr">
        <is>
          <t>北海道網走市字北浜273番地の4</t>
        </is>
      </c>
      <c r="E93" s="15" t="inlineStr">
        <is>
          <t>※要確認</t>
        </is>
      </c>
      <c r="F93" s="15" t="inlineStr">
        <is>
          <t>網走市での牧場経営</t>
        </is>
      </c>
      <c r="G93" s="15" t="inlineStr">
        <is>
          <t>日常飼養管理の労働力確保</t>
        </is>
      </c>
      <c r="H93" s="15" t="inlineStr">
        <is>
          <t>採用コストを抑えた即戦力人材の提供</t>
        </is>
      </c>
      <c r="AQ93">
        <f>COUNTIFS(加電履歴!$F:$F,B93,加電履歴!$E:$E,"畜種農業")</f>
        <v/>
      </c>
      <c r="AR93" s="10">
        <f>IFERROR(IF(COUNTIFS(加電履歴!$F:$F,B93,加電履歴!$E:$E,"畜種農業")=0,"",MAXIFS(加電履歴!$B:$B,加電履歴!$F:$F,B93,加電履歴!$E:$E,"畜種農業")),"")</f>
        <v/>
      </c>
      <c r="AS93">
        <f>IFERROR(IF(COUNTIFS(加電履歴!$F:$F,B93,加電履歴!$E:$E,"畜種農業")=0,"",INDEX(加電履歴!$I:$I,MATCH(1,(加電履歴!$F:$F=B93)*(加電履歴!$E:$E="畜種農業")*(加電履歴!$B:$B=MAXIFS(加電履歴!$B:$B,加電履歴!$F:$F,B93,加電履歴!$E:$E,"畜種農業")),0))),"")</f>
        <v/>
      </c>
    </row>
    <row r="94">
      <c r="A94" s="15" t="inlineStr">
        <is>
          <t>道東(網走)</t>
        </is>
      </c>
      <c r="B94" s="15" t="inlineStr">
        <is>
          <t>有限会社網走ふる里牧場</t>
        </is>
      </c>
      <c r="C94" s="15" t="inlineStr"/>
      <c r="D94" s="15" t="inlineStr">
        <is>
          <t>北海道網走市字稲富83</t>
        </is>
      </c>
      <c r="E94" s="15" t="inlineStr">
        <is>
          <t>※要確認</t>
        </is>
      </c>
      <c r="F94" s="15" t="inlineStr">
        <is>
          <t>網走市の畜産業</t>
        </is>
      </c>
      <c r="G94" s="15" t="inlineStr">
        <is>
          <t>通常飼養管理の担い手不足</t>
        </is>
      </c>
      <c r="H94" s="15" t="inlineStr">
        <is>
          <t>即戦力配置による飼養管理の安定化</t>
        </is>
      </c>
      <c r="AQ94">
        <f>COUNTIFS(加電履歴!$F:$F,B94,加電履歴!$E:$E,"畜種農業")</f>
        <v/>
      </c>
      <c r="AR94" s="10">
        <f>IFERROR(IF(COUNTIFS(加電履歴!$F:$F,B94,加電履歴!$E:$E,"畜種農業")=0,"",MAXIFS(加電履歴!$B:$B,加電履歴!$F:$F,B94,加電履歴!$E:$E,"畜種農業")),"")</f>
        <v/>
      </c>
      <c r="AS94">
        <f>IFERROR(IF(COUNTIFS(加電履歴!$F:$F,B94,加電履歴!$E:$E,"畜種農業")=0,"",INDEX(加電履歴!$I:$I,MATCH(1,(加電履歴!$F:$F=B94)*(加電履歴!$E:$E="畜種農業")*(加電履歴!$B:$B=MAXIFS(加電履歴!$B:$B,加電履歴!$F:$F,B94,加電履歴!$E:$E,"畜種農業")),0))),"")</f>
        <v/>
      </c>
    </row>
    <row r="95">
      <c r="A95" s="15" t="inlineStr">
        <is>
          <t>道東(大空)</t>
        </is>
      </c>
      <c r="B95" s="15" t="inlineStr">
        <is>
          <t>株式会社北海道畜産公社 道東事業所 北見工場</t>
        </is>
      </c>
      <c r="C95" s="16" t="inlineStr">
        <is>
          <t>https://tikusan.securesite.jp/</t>
        </is>
      </c>
      <c r="D95" s="15" t="inlineStr">
        <is>
          <t>北海道網走郡大空町東藻琴西倉280-3 (〒099-3202)</t>
        </is>
      </c>
      <c r="E95" s="15" t="inlineStr">
        <is>
          <t>※要確認</t>
        </is>
      </c>
      <c r="F95" s="15" t="inlineStr">
        <is>
          <t>オホーツク地区主要食肉処理工場/牛・豚加工/海外輸出認定</t>
        </is>
      </c>
      <c r="G95" s="15" t="inlineStr">
        <is>
          <t>大規模食肉処理ラインにおける慢性的人員不足</t>
        </is>
      </c>
      <c r="H95" s="15" t="inlineStr">
        <is>
          <t>食肉加工現場で即戦力となる特定技能人材を通年で提供</t>
        </is>
      </c>
      <c r="AQ95">
        <f>COUNTIFS(加電履歴!$F:$F,B95,加電履歴!$E:$E,"畜種農業")</f>
        <v/>
      </c>
      <c r="AR95" s="10">
        <f>IFERROR(IF(COUNTIFS(加電履歴!$F:$F,B95,加電履歴!$E:$E,"畜種農業")=0,"",MAXIFS(加電履歴!$B:$B,加電履歴!$F:$F,B95,加電履歴!$E:$E,"畜種農業")),"")</f>
        <v/>
      </c>
      <c r="AS95">
        <f>IFERROR(IF(COUNTIFS(加電履歴!$F:$F,B95,加電履歴!$E:$E,"畜種農業")=0,"",INDEX(加電履歴!$I:$I,MATCH(1,(加電履歴!$F:$F=B95)*(加電履歴!$E:$E="畜種農業")*(加電履歴!$B:$B=MAXIFS(加電履歴!$B:$B,加電履歴!$F:$F,B95,加電履歴!$E:$E,"畜種農業")),0))),"")</f>
        <v/>
      </c>
    </row>
    <row r="96">
      <c r="A96" s="15" t="inlineStr">
        <is>
          <t>道東(大空)</t>
        </is>
      </c>
      <c r="B96" s="15" t="inlineStr">
        <is>
          <t>有限会社山口ファーム</t>
        </is>
      </c>
      <c r="C96" s="16" t="inlineStr">
        <is>
          <t>https://www.yamaguchifarm.com/</t>
        </is>
      </c>
      <c r="D96" s="15" t="inlineStr">
        <is>
          <t>北海道網走郡大空町東藻琴末広92番地 (〒099-3232)</t>
        </is>
      </c>
      <c r="E96" s="15" t="inlineStr">
        <is>
          <t>0152-66-3434</t>
        </is>
      </c>
      <c r="F96" s="15" t="inlineStr">
        <is>
          <t>大空町東藻琴の農場経営</t>
        </is>
      </c>
      <c r="G96" s="15" t="inlineStr">
        <is>
          <t>農繁期の労働力確保</t>
        </is>
      </c>
      <c r="H96" s="15" t="inlineStr">
        <is>
          <t>即戦力人材による農作業の安定化</t>
        </is>
      </c>
      <c r="AQ96">
        <f>COUNTIFS(加電履歴!$F:$F,B96,加電履歴!$E:$E,"畜種農業")</f>
        <v/>
      </c>
      <c r="AR96" s="10">
        <f>IFERROR(IF(COUNTIFS(加電履歴!$F:$F,B96,加電履歴!$E:$E,"畜種農業")=0,"",MAXIFS(加電履歴!$B:$B,加電履歴!$F:$F,B96,加電履歴!$E:$E,"畜種農業")),"")</f>
        <v/>
      </c>
      <c r="AS96">
        <f>IFERROR(IF(COUNTIFS(加電履歴!$F:$F,B96,加電履歴!$E:$E,"畜種農業")=0,"",INDEX(加電履歴!$I:$I,MATCH(1,(加電履歴!$F:$F=B96)*(加電履歴!$E:$E="畜種農業")*(加電履歴!$B:$B=MAXIFS(加電履歴!$B:$B,加電履歴!$F:$F,B96,加電履歴!$E:$E,"畜種農業")),0))),"")</f>
        <v/>
      </c>
    </row>
    <row r="97">
      <c r="A97" s="15" t="inlineStr">
        <is>
          <t>道東(大空)</t>
        </is>
      </c>
      <c r="B97" s="15" t="inlineStr">
        <is>
          <t>有限会社西牧場</t>
        </is>
      </c>
      <c r="C97" s="16" t="inlineStr">
        <is>
          <t>https://www.nishi-farm.com/</t>
        </is>
      </c>
      <c r="D97" s="15" t="inlineStr">
        <is>
          <t>北海道網走郡大空町東藻琴西倉347 (〒099-3202)</t>
        </is>
      </c>
      <c r="E97" s="15" t="inlineStr">
        <is>
          <t>0152-66-2260</t>
        </is>
      </c>
      <c r="F97" s="15" t="inlineStr">
        <is>
          <t>酪農・和牛素牛生産/乳牛235頭+黒毛和牛110頭</t>
        </is>
      </c>
      <c r="G97" s="15" t="inlineStr">
        <is>
          <t>酪農と和牛繁殖の両立による多忙</t>
        </is>
      </c>
      <c r="H97" s="15" t="inlineStr">
        <is>
          <t>飼養ルーティンを即戦力に任せ、繁殖管理に注力できる体制構築</t>
        </is>
      </c>
      <c r="AQ97">
        <f>COUNTIFS(加電履歴!$F:$F,B97,加電履歴!$E:$E,"畜種農業")</f>
        <v/>
      </c>
      <c r="AR97" s="10">
        <f>IFERROR(IF(COUNTIFS(加電履歴!$F:$F,B97,加電履歴!$E:$E,"畜種農業")=0,"",MAXIFS(加電履歴!$B:$B,加電履歴!$F:$F,B97,加電履歴!$E:$E,"畜種農業")),"")</f>
        <v/>
      </c>
      <c r="AS97">
        <f>IFERROR(IF(COUNTIFS(加電履歴!$F:$F,B97,加電履歴!$E:$E,"畜種農業")=0,"",INDEX(加電履歴!$I:$I,MATCH(1,(加電履歴!$F:$F=B97)*(加電履歴!$E:$E="畜種農業")*(加電履歴!$B:$B=MAXIFS(加電履歴!$B:$B,加電履歴!$F:$F,B97,加電履歴!$E:$E,"畜種農業")),0))),"")</f>
        <v/>
      </c>
    </row>
    <row r="98">
      <c r="A98" s="15" t="inlineStr">
        <is>
          <t>道東(津別)</t>
        </is>
      </c>
      <c r="B98" s="15" t="inlineStr">
        <is>
          <t>株式会社津別ファーム</t>
        </is>
      </c>
      <c r="C98" s="16" t="inlineStr">
        <is>
          <t>https://tsubetsufarm.com/</t>
        </is>
      </c>
      <c r="D98" s="15" t="inlineStr">
        <is>
          <t>北海道網走郡津別町字栄58番地2 (〒092-0356)</t>
        </is>
      </c>
      <c r="E98" s="15" t="inlineStr">
        <is>
          <t>0152-76-1420</t>
        </is>
      </c>
      <c r="F98" s="15" t="inlineStr">
        <is>
          <t>黒毛和牛素牛生産/飼養3500頭(繁殖1711/育成1220/肥育568)</t>
        </is>
      </c>
      <c r="G98" s="15" t="inlineStr">
        <is>
          <t>大規模和牛繁殖における人員確保と血統管理</t>
        </is>
      </c>
      <c r="H98" s="15" t="inlineStr">
        <is>
          <t>繁殖・育成・肥育の各段階に即戦力を配置し品質を維持</t>
        </is>
      </c>
      <c r="AQ98">
        <f>COUNTIFS(加電履歴!$F:$F,B98,加電履歴!$E:$E,"畜種農業")</f>
        <v/>
      </c>
      <c r="AR98" s="10">
        <f>IFERROR(IF(COUNTIFS(加電履歴!$F:$F,B98,加電履歴!$E:$E,"畜種農業")=0,"",MAXIFS(加電履歴!$B:$B,加電履歴!$F:$F,B98,加電履歴!$E:$E,"畜種農業")),"")</f>
        <v/>
      </c>
      <c r="AS98">
        <f>IFERROR(IF(COUNTIFS(加電履歴!$F:$F,B98,加電履歴!$E:$E,"畜種農業")=0,"",INDEX(加電履歴!$I:$I,MATCH(1,(加電履歴!$F:$F=B98)*(加電履歴!$E:$E="畜種農業")*(加電履歴!$B:$B=MAXIFS(加電履歴!$B:$B,加電履歴!$F:$F,B98,加電履歴!$E:$E,"畜種農業")),0))),"")</f>
        <v/>
      </c>
    </row>
  </sheetData>
  <hyperlinks>
    <hyperlink xmlns:r="http://schemas.openxmlformats.org/officeDocument/2006/relationships" ref="C87" r:id="rId1"/>
    <hyperlink xmlns:r="http://schemas.openxmlformats.org/officeDocument/2006/relationships" ref="C88" r:id="rId2"/>
    <hyperlink xmlns:r="http://schemas.openxmlformats.org/officeDocument/2006/relationships" ref="C89" r:id="rId3"/>
    <hyperlink xmlns:r="http://schemas.openxmlformats.org/officeDocument/2006/relationships" ref="C90" r:id="rId4"/>
    <hyperlink xmlns:r="http://schemas.openxmlformats.org/officeDocument/2006/relationships" ref="C92" r:id="rId5"/>
    <hyperlink xmlns:r="http://schemas.openxmlformats.org/officeDocument/2006/relationships" ref="C95" r:id="rId6"/>
    <hyperlink xmlns:r="http://schemas.openxmlformats.org/officeDocument/2006/relationships" ref="C96" r:id="rId7"/>
    <hyperlink xmlns:r="http://schemas.openxmlformats.org/officeDocument/2006/relationships" ref="C97" r:id="rId8"/>
    <hyperlink xmlns:r="http://schemas.openxmlformats.org/officeDocument/2006/relationships" ref="C98" r:id="rId9"/>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2026-05-14T02:24:19Z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