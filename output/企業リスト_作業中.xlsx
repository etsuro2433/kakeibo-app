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name="JAリスト" sheetId="1" state="visible" r:id="rId1"/>
    <sheet name="畜種農業" sheetId="2" state="visible" r:id="rId2"/>
    <sheet name="加電履歴" sheetId="3" state="visible" r:id="rId3"/>
  </sheets>
  <definedNames>
    <definedName name="_xlnm._FilterDatabase" localSheetId="2" hidden="1">'加電履歴'!$A$1:$L$1</definedName>
  </definedNames>
  <calcPr calcId="191028" fullCalcOnLoad="1"/>
</workbook>
</file>

<file path=xl/styles.xml><?xml version="1.0" encoding="utf-8"?>
<styleSheet xmlns="http://schemas.openxmlformats.org/spreadsheetml/2006/main">
  <numFmts count="1">
    <numFmt numFmtId="164" formatCode="yyyy/mm/dd"/>
  </numFmts>
  <fonts count="10">
    <font>
      <name val="Arial"/>
      <color rgb="FF000000"/>
      <sz val="10"/>
      <scheme val="minor"/>
    </font>
    <font>
      <name val="Arial"/>
      <family val="2"/>
      <color theme="1"/>
      <sz val="10"/>
    </font>
    <font>
      <name val="Arial"/>
      <family val="2"/>
      <color theme="1"/>
      <sz val="9"/>
    </font>
    <font>
      <name val="Arial"/>
      <charset val="128"/>
      <family val="3"/>
      <sz val="6"/>
      <scheme val="minor"/>
    </font>
    <font>
      <name val="Arial"/>
      <family val="2"/>
      <color theme="1"/>
      <sz val="10"/>
      <scheme val="major"/>
    </font>
    <font>
      <name val="ＭＳ ゴシック"/>
      <charset val="128"/>
      <family val="3"/>
      <color theme="1"/>
      <sz val="10"/>
    </font>
    <font>
      <name val="Arial"/>
      <family val="2"/>
      <b val="1"/>
      <color theme="1"/>
      <sz val="10"/>
      <scheme val="minor"/>
    </font>
    <font>
      <name val="Arial"/>
      <family val="2"/>
      <color theme="1"/>
      <sz val="10"/>
      <scheme val="minor"/>
    </font>
    <font>
      <b val="1"/>
      <color rgb="00FFFFFF"/>
    </font>
    <font>
      <color rgb="000563C1"/>
      <u val="single"/>
    </font>
  </fonts>
  <fills count="5">
    <fill>
      <patternFill/>
    </fill>
    <fill>
      <patternFill patternType="gray125"/>
    </fill>
    <fill>
      <patternFill patternType="solid">
        <fgColor theme="7" tint="0.3999755851924192"/>
        <bgColor indexed="64"/>
      </patternFill>
    </fill>
    <fill>
      <patternFill patternType="solid">
        <fgColor rgb="004472C4"/>
      </patternFill>
    </fill>
    <fill>
      <patternFill patternType="solid">
        <fgColor rgb="00FFF2CC"/>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pivotButton="0" quotePrefix="0" xfId="0"/>
    <xf numFmtId="0" fontId="1" fillId="0" borderId="0" applyAlignment="1" pivotButton="0" quotePrefix="0" xfId="0">
      <alignment horizontal="center"/>
    </xf>
    <xf numFmtId="0" fontId="0" fillId="0" borderId="0" applyAlignment="1" pivotButton="0" quotePrefix="0" xfId="0">
      <alignment horizontal="center"/>
    </xf>
    <xf numFmtId="0" fontId="2" fillId="0" borderId="0" applyAlignment="1" pivotButton="0" quotePrefix="0" xfId="0">
      <alignment horizontal="center"/>
    </xf>
    <xf numFmtId="0" fontId="4" fillId="0" borderId="0" pivotButton="0" quotePrefix="0" xfId="0"/>
    <xf numFmtId="0" fontId="5" fillId="0" borderId="0" pivotButton="0" quotePrefix="0" xfId="0"/>
    <xf numFmtId="0" fontId="6" fillId="2" borderId="0" pivotButton="0" quotePrefix="0" xfId="0"/>
    <xf numFmtId="0" fontId="0" fillId="2" borderId="0" pivotButton="0" quotePrefix="0" xfId="0"/>
    <xf numFmtId="0" fontId="7" fillId="0" borderId="0" pivotButton="0" quotePrefix="0" xfId="0"/>
    <xf numFmtId="164" fontId="0" fillId="0" borderId="0" pivotButton="0" quotePrefix="0" xfId="0"/>
    <xf numFmtId="0" fontId="8" fillId="3" borderId="0" applyAlignment="1" pivotButton="0" quotePrefix="0" xfId="0">
      <alignment horizontal="center" vertical="center"/>
    </xf>
    <xf numFmtId="0" fontId="9" fillId="4" borderId="0" pivotButton="0" quotePrefix="0" xfId="0"/>
    <xf numFmtId="0" fontId="1" fillId="4" borderId="0" pivotButton="0" quotePrefix="0" xfId="0"/>
    <xf numFmtId="0" fontId="0" fillId="4" borderId="0" pivotButton="0" quotePrefix="0" xfId="0"/>
  </cellXfs>
  <cellStyles count="1">
    <cellStyle name="標準" xfId="0" builtinId="0"/>
  </cellStyles>
  <dxfs count="41">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center" vertical="bottom"/>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テーブル3" displayName="テーブル3" ref="A1:AM51" headerRowCount="1" totalsRowShown="0" headerRowDxfId="40" dataDxfId="39">
  <autoFilter ref="A1:AM51"/>
  <tableColumns count="39">
    <tableColumn id="1" name="企業名" dataDxfId="38"/>
    <tableColumn id="2" name="住所" dataDxfId="37"/>
    <tableColumn id="3" name="電話番号" dataDxfId="36"/>
    <tableColumn id="4" name="地域の農業特徴・特産品情報" dataDxfId="35"/>
    <tableColumn id="5" name="想定される課題・アプローチのポイント" dataDxfId="34"/>
    <tableColumn id="6" name="提案の切り口（自社サービス・強み）" dataDxfId="33"/>
    <tableColumn id="7" name="担当部署" dataDxfId="32"/>
    <tableColumn id="8" name="役職" dataDxfId="31"/>
    <tableColumn id="9" name="担当者" dataDxfId="30"/>
    <tableColumn id="10" name="活用状況" dataDxfId="29"/>
    <tableColumn id="11" name="実習人数" dataDxfId="28"/>
    <tableColumn id="12" name="実習_国籍" dataDxfId="27"/>
    <tableColumn id="13" name="特技人数" dataDxfId="26"/>
    <tableColumn id="14" name="特技_国籍" dataDxfId="25"/>
    <tableColumn id="15" name="既存状況" dataDxfId="24"/>
    <tableColumn id="16" name="営業状況" dataDxfId="23"/>
    <tableColumn id="17" name="ステータス" dataDxfId="22"/>
    <tableColumn id="18" name="進捗" dataDxfId="21"/>
    <tableColumn id="19" name="初回訪問日" dataDxfId="20"/>
    <tableColumn id="20" name="最終コンタクト日" dataDxfId="19"/>
    <tableColumn id="21" name="最終経過日数" dataDxfId="18"/>
    <tableColumn id="22" name="訪問履歴" dataDxfId="17"/>
    <tableColumn id="23" name="最終アクション（日付・結果/詳細）" dataDxfId="16"/>
    <tableColumn id="24" name="日付" dataDxfId="15"/>
    <tableColumn id="25" name="行動" dataDxfId="14"/>
    <tableColumn id="26" name="次回アクション予定" dataDxfId="13"/>
    <tableColumn id="27" name="予定日" dataDxfId="12"/>
    <tableColumn id="28" name="連携元" dataDxfId="11"/>
    <tableColumn id="29" name="連携元所属" dataDxfId="10"/>
    <tableColumn id="30" name="連携者" dataDxfId="9"/>
    <tableColumn id="31" name="連携先" dataDxfId="8"/>
    <tableColumn id="32" name="担当所属" dataDxfId="7"/>
    <tableColumn id="33" name="営業担当" dataDxfId="6"/>
    <tableColumn id="34" name="受注日" dataDxfId="5"/>
    <tableColumn id="35" name="受注内容" dataDxfId="4"/>
    <tableColumn id="36" name="配属予定日" dataDxfId="3"/>
    <tableColumn id="37" name="受注_国籍" dataDxfId="2"/>
    <tableColumn id="38" name="受注_人数" dataDxfId="1"/>
    <tableColumn id="39" name="状況" dataDxfId="0"/>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jakitamirai.or.jp/" TargetMode="External" Id="rId1" /><Relationship Type="http://schemas.openxmlformats.org/officeDocument/2006/relationships/hyperlink" Target="https://www.ja-tokoro.or.jp/" TargetMode="External" Id="rId2" /><Relationship Type="http://schemas.openxmlformats.org/officeDocument/2006/relationships/hyperlink" Target="https://www.ja-memanbetsu.jp/" TargetMode="External" Id="rId3" /><Relationship Type="http://schemas.openxmlformats.org/officeDocument/2006/relationships/hyperlink" Target="https://www.ja-bihoro.or.jp/" TargetMode="External" Id="rId4" /><Relationship Type="http://schemas.openxmlformats.org/officeDocument/2006/relationships/hyperlink" Target="https://www.jatsubetsu.or.jp/" TargetMode="External" Id="rId5" /><Relationship Type="http://schemas.openxmlformats.org/officeDocument/2006/relationships/hyperlink" Target="https://ja-shiretokoshari.or.jp/" TargetMode="External" Id="rId6" /><Relationship Type="http://schemas.openxmlformats.org/officeDocument/2006/relationships/hyperlink" Target="https://ja-kiyosato.or.jp/" TargetMode="External" Id="rId7" /><Relationship Type="http://schemas.openxmlformats.org/officeDocument/2006/relationships/hyperlink" Target="https://ja-koshimizu.jp/" TargetMode="External" Id="rId8" /><Relationship Type="http://schemas.openxmlformats.org/officeDocument/2006/relationships/hyperlink" Target="https://www.ja-enyu.com/" TargetMode="External" Id="rId9" /><Relationship Type="http://schemas.openxmlformats.org/officeDocument/2006/relationships/hyperlink" Target="https://www.jaobihirokawanisi.or.jp/" TargetMode="External" Id="rId10" /><Relationship Type="http://schemas.openxmlformats.org/officeDocument/2006/relationships/hyperlink" Target="https://www.ja-otofuke.jp/" TargetMode="External" Id="rId11" /><Relationship Type="http://schemas.openxmlformats.org/officeDocument/2006/relationships/hyperlink" Target="https://ja-kino.com/" TargetMode="External" Id="rId12" /><Relationship Type="http://schemas.openxmlformats.org/officeDocument/2006/relationships/hyperlink" Target="https://www.ja-shihoro.or.jp/" TargetMode="External" Id="rId13" /><Relationship Type="http://schemas.openxmlformats.org/officeDocument/2006/relationships/hyperlink" Target="https://ja-kamishihoro.or.jp/" TargetMode="External" Id="rId14" /><Relationship Type="http://schemas.openxmlformats.org/officeDocument/2006/relationships/hyperlink" Target="https://www.ja-shikaoi.com/" TargetMode="External" Id="rId15" /><Relationship Type="http://schemas.openxmlformats.org/officeDocument/2006/relationships/hyperlink" Target="https://www.ja-shintoku.or.jp/" TargetMode="External" Id="rId16" /><Relationship Type="http://schemas.openxmlformats.org/officeDocument/2006/relationships/hyperlink" Target="http://www.ja-akan.or.jp/" TargetMode="External" Id="rId17" /><Relationship Type="http://schemas.openxmlformats.org/officeDocument/2006/relationships/hyperlink" Target="https://www.sip.jp/~ja-shibecya/" TargetMode="External" Id="rId18" /><Relationship Type="http://schemas.openxmlformats.org/officeDocument/2006/relationships/hyperlink" Target="https://www.ja-doutouasahi.or.jp/" TargetMode="External" Id="rId19" /><Relationship Type="http://schemas.openxmlformats.org/officeDocument/2006/relationships/hyperlink" Target="http://ja-nks.jp/" TargetMode="External" Id="rId20" /><Relationship Type="http://schemas.openxmlformats.org/officeDocument/2006/relationships/hyperlink" Target="https://www.ja-shibetsu.com/" TargetMode="External" Id="rId21" /><Relationship Type="http://schemas.openxmlformats.org/officeDocument/2006/relationships/table" Target="/xl/tables/table1.xml" Id="rId22" /></Relationships>
</file>

<file path=xl/worksheets/sheet1.xml><?xml version="1.0" encoding="utf-8"?>
<worksheet xmlns="http://schemas.openxmlformats.org/spreadsheetml/2006/main">
  <sheetPr>
    <outlinePr summaryBelow="0" summaryRight="0"/>
    <pageSetUpPr/>
  </sheetPr>
  <dimension ref="A1:AQ53"/>
  <sheetViews>
    <sheetView workbookViewId="0">
      <pane xSplit="1" topLeftCell="B1" activePane="topRight" state="frozen"/>
      <selection pane="topRight" activeCell="A1" sqref="A1:AM1"/>
    </sheetView>
  </sheetViews>
  <sheetFormatPr baseColWidth="8" defaultColWidth="12.54296875" defaultRowHeight="15.75" customHeight="1"/>
  <cols>
    <col width="13.26953125" bestFit="1" customWidth="1" min="1" max="1"/>
    <col width="40" bestFit="1" customWidth="1" min="2" max="2"/>
    <col width="12.453125" bestFit="1" customWidth="1" min="3" max="3"/>
    <col width="36.81640625" bestFit="1" customWidth="1" min="4" max="4"/>
    <col width="73" bestFit="1" customWidth="1" min="5" max="5"/>
    <col width="79.26953125" bestFit="1" customWidth="1" min="6" max="6"/>
    <col width="10.54296875" bestFit="1" customWidth="1" min="7" max="7"/>
    <col width="6.81640625" bestFit="1" customWidth="1" min="8" max="8"/>
    <col width="8.7265625" bestFit="1" customWidth="1" min="9" max="9"/>
    <col width="10.54296875" bestFit="1" customWidth="1" min="10" max="11"/>
    <col width="11.54296875" bestFit="1" customWidth="1" min="12" max="12"/>
    <col width="10.54296875" bestFit="1" customWidth="1" min="13" max="13"/>
    <col width="11.54296875" bestFit="1" customWidth="1" min="14" max="14"/>
    <col width="10.54296875" bestFit="1" customWidth="1" min="15" max="16"/>
    <col width="10.1796875" bestFit="1" customWidth="1" min="17" max="17"/>
    <col width="6.81640625" bestFit="1" customWidth="1" min="18" max="18"/>
    <col width="12.453125" bestFit="1" customWidth="1" min="19" max="19"/>
    <col width="15.54296875" bestFit="1" customWidth="1" min="20" max="20"/>
    <col width="14.26953125" bestFit="1" customWidth="1" min="21" max="21"/>
    <col width="10.54296875" bestFit="1" customWidth="1" min="22" max="22"/>
    <col width="30.1796875" bestFit="1" customWidth="1" min="23" max="23"/>
    <col width="6.81640625" bestFit="1" customWidth="1" min="24" max="25"/>
    <col width="17.54296875" bestFit="1" customWidth="1" min="26" max="26"/>
    <col width="8.7265625" bestFit="1" customWidth="1" min="27" max="28"/>
    <col width="12.453125" bestFit="1" customWidth="1" min="29" max="29"/>
    <col width="8.7265625" bestFit="1" customWidth="1" min="30" max="31"/>
    <col width="18.1796875" bestFit="1" customWidth="1" min="32" max="32"/>
    <col width="10.54296875" bestFit="1" customWidth="1" min="33" max="33"/>
    <col width="8.7265625" bestFit="1" customWidth="1" min="34" max="34"/>
    <col width="10.54296875" bestFit="1" customWidth="1" min="35" max="35"/>
    <col width="12.453125" bestFit="1" customWidth="1" min="36" max="36"/>
    <col width="11.54296875" bestFit="1" customWidth="1" min="37" max="38"/>
    <col width="6.81640625" bestFit="1" customWidth="1" min="39" max="39"/>
    <col width="14" customWidth="1" min="41" max="41"/>
    <col width="14" customWidth="1" min="42" max="42"/>
    <col width="14" customWidth="1" min="43" max="43"/>
  </cols>
  <sheetData>
    <row r="1" ht="12.5" customFormat="1" customHeight="1" s="3">
      <c r="A1" s="2" t="inlineStr">
        <is>
          <t>企業名</t>
        </is>
      </c>
      <c r="B1" s="2" t="inlineStr">
        <is>
          <t>ホームページ</t>
        </is>
      </c>
      <c r="C1" s="2" t="inlineStr">
        <is>
          <t>住所</t>
        </is>
      </c>
      <c r="D1" s="2" t="inlineStr">
        <is>
          <t>電話番号</t>
        </is>
      </c>
      <c r="E1" s="4" t="inlineStr">
        <is>
          <t>地域の農業特徴・特産品情報</t>
        </is>
      </c>
      <c r="F1" s="4" t="inlineStr">
        <is>
          <t>想定される課題・アプローチのポイント</t>
        </is>
      </c>
      <c r="G1" s="4" t="inlineStr">
        <is>
          <t>提案の切り口（自社サービス・強み）</t>
        </is>
      </c>
      <c r="H1" s="2" t="inlineStr">
        <is>
          <t>担当部署</t>
        </is>
      </c>
      <c r="I1" s="2" t="inlineStr">
        <is>
          <t>役職</t>
        </is>
      </c>
      <c r="J1" s="2" t="inlineStr">
        <is>
          <t>担当者</t>
        </is>
      </c>
      <c r="K1" s="2" t="inlineStr">
        <is>
          <t>活用状況</t>
        </is>
      </c>
      <c r="L1" s="2" t="inlineStr">
        <is>
          <t>実習人数</t>
        </is>
      </c>
      <c r="M1" s="2" t="inlineStr">
        <is>
          <t>実習_国籍</t>
        </is>
      </c>
      <c r="N1" s="2" t="inlineStr">
        <is>
          <t>特技人数</t>
        </is>
      </c>
      <c r="O1" s="2" t="inlineStr">
        <is>
          <t>特技_国籍</t>
        </is>
      </c>
      <c r="P1" s="2" t="inlineStr">
        <is>
          <t>既存状況</t>
        </is>
      </c>
      <c r="Q1" s="2" t="inlineStr">
        <is>
          <t>営業状況</t>
        </is>
      </c>
      <c r="R1" s="2" t="inlineStr">
        <is>
          <t>ステータス</t>
        </is>
      </c>
      <c r="S1" s="2" t="inlineStr">
        <is>
          <t>進捗</t>
        </is>
      </c>
      <c r="T1" s="2" t="inlineStr">
        <is>
          <t>初回訪問日</t>
        </is>
      </c>
      <c r="U1" s="2" t="inlineStr">
        <is>
          <t>最終コンタクト日</t>
        </is>
      </c>
      <c r="V1" s="2" t="inlineStr">
        <is>
          <t>最終経過日数</t>
        </is>
      </c>
      <c r="W1" s="2" t="inlineStr">
        <is>
          <t>訪問履歴</t>
        </is>
      </c>
      <c r="X1" s="2" t="inlineStr">
        <is>
          <t>最終アクション（日付・結果/詳細）</t>
        </is>
      </c>
      <c r="Y1" s="2" t="inlineStr">
        <is>
          <t>日付</t>
        </is>
      </c>
      <c r="Z1" s="2" t="inlineStr">
        <is>
          <t>行動</t>
        </is>
      </c>
      <c r="AA1" s="2" t="inlineStr">
        <is>
          <t>次回アクション予定</t>
        </is>
      </c>
      <c r="AB1" s="2" t="inlineStr">
        <is>
          <t>予定日</t>
        </is>
      </c>
      <c r="AC1" s="2" t="inlineStr">
        <is>
          <t>連携元</t>
        </is>
      </c>
      <c r="AD1" s="2" t="inlineStr">
        <is>
          <t>連携元所属</t>
        </is>
      </c>
      <c r="AE1" s="2" t="inlineStr">
        <is>
          <t>連携者</t>
        </is>
      </c>
      <c r="AF1" s="2" t="inlineStr">
        <is>
          <t>連携先</t>
        </is>
      </c>
      <c r="AG1" s="2" t="inlineStr">
        <is>
          <t>担当所属</t>
        </is>
      </c>
      <c r="AH1" s="2" t="inlineStr">
        <is>
          <t>営業担当</t>
        </is>
      </c>
      <c r="AI1" s="2" t="inlineStr">
        <is>
          <t>受注日</t>
        </is>
      </c>
      <c r="AJ1" s="2" t="inlineStr">
        <is>
          <t>受注内容</t>
        </is>
      </c>
      <c r="AK1" s="2" t="inlineStr">
        <is>
          <t>配属予定日</t>
        </is>
      </c>
      <c r="AL1" s="2" t="inlineStr">
        <is>
          <t>受注_国籍</t>
        </is>
      </c>
      <c r="AM1" s="2" t="inlineStr">
        <is>
          <t>受注_人数</t>
        </is>
      </c>
      <c r="AN1" s="2" t="inlineStr">
        <is>
          <t>状況</t>
        </is>
      </c>
      <c r="AO1" s="2" t="inlineStr">
        <is>
          <t>加電回数</t>
        </is>
      </c>
      <c r="AP1" s="2" t="inlineStr">
        <is>
          <t>最終加電日</t>
        </is>
      </c>
      <c r="AQ1" s="2" t="inlineStr">
        <is>
          <t>最終結果</t>
        </is>
      </c>
    </row>
    <row r="2" ht="12.5" customHeight="1">
      <c r="A2" s="1" t="inlineStr">
        <is>
          <t>JA道央</t>
        </is>
      </c>
      <c r="C2" s="1" t="inlineStr">
        <is>
          <t>恵庭市</t>
        </is>
      </c>
      <c r="D2" s="1" t="inlineStr">
        <is>
          <t>0123-33-5854</t>
        </is>
      </c>
      <c r="E2" s="6" t="inlineStr">
        <is>
          <t>都市近郊型の稲作、野菜、花き栽培が盛ん。</t>
        </is>
      </c>
      <c r="F2" s="1" t="inlineStr">
        <is>
          <t>多品目栽培により一年を通して労働力が必要。都市部近くのため人材の定着は比較的見込める。</t>
        </is>
      </c>
      <c r="G2" s="5" t="inlineStr">
        <is>
          <t>補助金採択を条件とした完全成果報酬型を提示し、複数農家での人材シェアリングを提案。</t>
        </is>
      </c>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inlineStr">
        <is>
          <t>BREXA CrossBorder</t>
        </is>
      </c>
      <c r="AH2" s="1" t="inlineStr">
        <is>
          <t>武田 悦郎</t>
        </is>
      </c>
      <c r="AI2" s="1" t="n"/>
      <c r="AJ2" s="1" t="n"/>
      <c r="AK2" s="1" t="n"/>
      <c r="AL2" s="1" t="n"/>
      <c r="AM2" s="1" t="n"/>
      <c r="AN2" s="1" t="n"/>
      <c r="AO2">
        <f>COUNTIFS(加電履歴!$F:$F,A2,加電履歴!$E:$E,"JAリスト")</f>
        <v/>
      </c>
      <c r="AP2" s="10">
        <f>IFERROR(IF(COUNTIFS(加電履歴!$F:$F,A2,加電履歴!$E:$E,"JAリスト")=0,"",MAXIFS(加電履歴!$B:$B,加電履歴!$F:$F,A2,加電履歴!$E:$E,"JAリスト")),"")</f>
        <v/>
      </c>
      <c r="AQ2">
        <f>IFERROR(IF(COUNTIFS(加電履歴!$F:$F,A2,加電履歴!$E:$E,"JAリスト")=0,"",INDEX(加電履歴!$I:$I,MATCH(1,(加電履歴!$F:$F=A2)*(加電履歴!$E:$E="JAリスト")*(加電履歴!$B:$B=MAXIFS(加電履歴!$B:$B,加電履歴!$F:$F,A2,加電履歴!$E:$E,"JAリスト")),0))),"")</f>
        <v/>
      </c>
    </row>
    <row r="3" ht="12.5" customHeight="1">
      <c r="A3" s="1" t="inlineStr">
        <is>
          <t>JA北石狩</t>
        </is>
      </c>
      <c r="C3" s="1" t="inlineStr">
        <is>
          <t>石狩市</t>
        </is>
      </c>
      <c r="D3" s="1" t="inlineStr">
        <is>
          <t>0133-23-2560</t>
        </is>
      </c>
      <c r="E3" s="1" t="inlineStr">
        <is>
          <t>にんじん、大根などの根菜類、稲作。</t>
        </is>
      </c>
      <c r="F3" s="1" t="inlineStr">
        <is>
          <t>収穫期における短期集中的な人員不足。選果場での労働者の高齢化。</t>
        </is>
      </c>
      <c r="G3" s="1" t="inlineStr">
        <is>
          <t>選果場での業務定着に向け、語学教育ノウハウを活かした入国前後の手厚い日本語支援をアピール。</t>
        </is>
      </c>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inlineStr">
        <is>
          <t>BREXA CrossBorder</t>
        </is>
      </c>
      <c r="AH3" s="1" t="inlineStr">
        <is>
          <t>武田 悦郎</t>
        </is>
      </c>
      <c r="AI3" s="1" t="n"/>
      <c r="AJ3" s="1" t="n"/>
      <c r="AK3" s="1" t="n"/>
      <c r="AL3" s="1" t="n"/>
      <c r="AM3" s="1" t="n"/>
      <c r="AN3" s="1" t="n"/>
      <c r="AO3">
        <f>COUNTIFS(加電履歴!$F:$F,A3,加電履歴!$E:$E,"JAリスト")</f>
        <v/>
      </c>
      <c r="AP3" s="10">
        <f>IFERROR(IF(COUNTIFS(加電履歴!$F:$F,A3,加電履歴!$E:$E,"JAリスト")=0,"",MAXIFS(加電履歴!$B:$B,加電履歴!$F:$F,A3,加電履歴!$E:$E,"JAリスト")),"")</f>
        <v/>
      </c>
      <c r="AQ3">
        <f>IFERROR(IF(COUNTIFS(加電履歴!$F:$F,A3,加電履歴!$E:$E,"JAリスト")=0,"",INDEX(加電履歴!$I:$I,MATCH(1,(加電履歴!$F:$F=A3)*(加電履歴!$E:$E="JAリスト")*(加電履歴!$B:$B=MAXIFS(加電履歴!$B:$B,加電履歴!$F:$F,A3,加電履歴!$E:$E,"JAリスト")),0))),"")</f>
        <v/>
      </c>
    </row>
    <row r="4" ht="12.5" customHeight="1">
      <c r="A4" s="1" t="inlineStr">
        <is>
          <t>JA新しのつ</t>
        </is>
      </c>
      <c r="C4" s="1" t="inlineStr">
        <is>
          <t>新篠津村</t>
        </is>
      </c>
      <c r="D4" s="1" t="inlineStr">
        <is>
          <t>0126-57-2311</t>
        </is>
      </c>
      <c r="E4" s="1" t="inlineStr">
        <is>
          <t>クリーン農業を推進。米、玉ねぎ、白菜。</t>
        </is>
      </c>
      <c r="F4" s="1" t="inlineStr">
        <is>
          <t>村単位での労働力確保が難しく、外部からの人材流入が不可欠。</t>
        </is>
      </c>
      <c r="G4" s="1" t="inlineStr">
        <is>
          <t>村全体での受け入れ体制構築に向け、語学教育と人材紹介のハイブリッド支援を成果報酬で提案。</t>
        </is>
      </c>
      <c r="H4" s="1" t="n"/>
      <c r="I4" s="1" t="n"/>
      <c r="J4" s="1" t="n"/>
      <c r="K4" s="1" t="n"/>
      <c r="L4" s="1" t="n"/>
      <c r="M4" s="1" t="n"/>
      <c r="N4" s="1" t="n"/>
      <c r="O4" s="1" t="n"/>
      <c r="P4" s="1" t="n"/>
      <c r="Q4" s="1" t="n"/>
      <c r="R4" s="1" t="n"/>
      <c r="S4" s="1" t="n"/>
      <c r="T4" s="1" t="n"/>
      <c r="U4" s="1" t="n"/>
      <c r="V4" s="1" t="n"/>
      <c r="W4" s="1" t="n"/>
      <c r="X4" s="1" t="n"/>
      <c r="Y4" s="1" t="n"/>
      <c r="Z4" s="1" t="n"/>
      <c r="AA4" s="1" t="n"/>
      <c r="AB4" s="1" t="n"/>
      <c r="AC4" s="1" t="n"/>
      <c r="AD4" s="1" t="n"/>
      <c r="AE4" s="1" t="n"/>
      <c r="AF4" s="1" t="n"/>
      <c r="AG4" s="1" t="inlineStr">
        <is>
          <t>BREXA CrossBorder</t>
        </is>
      </c>
      <c r="AH4" s="1" t="inlineStr">
        <is>
          <t>武田 悦郎</t>
        </is>
      </c>
      <c r="AI4" s="1" t="n"/>
      <c r="AJ4" s="1" t="n"/>
      <c r="AK4" s="1" t="n"/>
      <c r="AL4" s="1" t="n"/>
      <c r="AM4" s="1" t="n"/>
      <c r="AN4" s="1" t="n"/>
      <c r="AO4">
        <f>COUNTIFS(加電履歴!$F:$F,A4,加電履歴!$E:$E,"JAリスト")</f>
        <v/>
      </c>
      <c r="AP4" s="10">
        <f>IFERROR(IF(COUNTIFS(加電履歴!$F:$F,A4,加電履歴!$E:$E,"JAリスト")=0,"",MAXIFS(加電履歴!$B:$B,加電履歴!$F:$F,A4,加電履歴!$E:$E,"JAリスト")),"")</f>
        <v/>
      </c>
      <c r="AQ4">
        <f>IFERROR(IF(COUNTIFS(加電履歴!$F:$F,A4,加電履歴!$E:$E,"JAリスト")=0,"",INDEX(加電履歴!$I:$I,MATCH(1,(加電履歴!$F:$F=A4)*(加電履歴!$E:$E="JAリスト")*(加電履歴!$B:$B=MAXIFS(加電履歴!$B:$B,加電履歴!$F:$F,A4,加電履歴!$E:$E,"JAリスト")),0))),"")</f>
        <v/>
      </c>
    </row>
    <row r="5" ht="12.5" customHeight="1">
      <c r="A5" s="1" t="inlineStr">
        <is>
          <t>JAいわみざわ</t>
        </is>
      </c>
      <c r="C5" s="1" t="inlineStr">
        <is>
          <t>岩見沢市</t>
        </is>
      </c>
      <c r="D5" s="1" t="inlineStr">
        <is>
          <t>0126-25-2210</t>
        </is>
      </c>
      <c r="E5" s="1" t="inlineStr">
        <is>
          <t>道内有数の稲作地帯。玉ねぎや小麦も大規模。</t>
        </is>
      </c>
      <c r="F5" s="1" t="inlineStr">
        <is>
          <t>大型機械オペレーターの補助や、玉ねぎの収穫・選別作業の人手不足。</t>
        </is>
      </c>
      <c r="G5" s="1" t="inlineStr">
        <is>
          <t>特定技能人材の提案とともに、初期費用ゼロの補助金活用スキームで導入ハードルを下げる。</t>
        </is>
      </c>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inlineStr">
        <is>
          <t>BREXA CrossBorder</t>
        </is>
      </c>
      <c r="AH5" s="1" t="inlineStr">
        <is>
          <t>武田 悦郎</t>
        </is>
      </c>
      <c r="AI5" s="1" t="n"/>
      <c r="AJ5" s="1" t="n"/>
      <c r="AK5" s="1" t="n"/>
      <c r="AL5" s="1" t="n"/>
      <c r="AM5" s="1" t="n"/>
      <c r="AN5" s="1" t="n"/>
      <c r="AO5">
        <f>COUNTIFS(加電履歴!$F:$F,A5,加電履歴!$E:$E,"JAリスト")</f>
        <v/>
      </c>
      <c r="AP5" s="10">
        <f>IFERROR(IF(COUNTIFS(加電履歴!$F:$F,A5,加電履歴!$E:$E,"JAリスト")=0,"",MAXIFS(加電履歴!$B:$B,加電履歴!$F:$F,A5,加電履歴!$E:$E,"JAリスト")),"")</f>
        <v/>
      </c>
      <c r="AQ5">
        <f>IFERROR(IF(COUNTIFS(加電履歴!$F:$F,A5,加電履歴!$E:$E,"JAリスト")=0,"",INDEX(加電履歴!$I:$I,MATCH(1,(加電履歴!$F:$F=A5)*(加電履歴!$E:$E="JAリスト")*(加電履歴!$B:$B=MAXIFS(加電履歴!$B:$B,加電履歴!$F:$F,A5,加電履歴!$E:$E,"JAリスト")),0))),"")</f>
        <v/>
      </c>
    </row>
    <row r="6" ht="12.5" customHeight="1">
      <c r="A6" s="1" t="inlineStr">
        <is>
          <t>JAみねのぶ</t>
        </is>
      </c>
      <c r="C6" s="1" t="inlineStr">
        <is>
          <t>美唄市</t>
        </is>
      </c>
      <c r="D6" s="1" t="inlineStr">
        <is>
          <t>0126-67-2331</t>
        </is>
      </c>
      <c r="E6" s="1" t="inlineStr">
        <is>
          <t>米、メロン、アスパラなどの高付加価値作物。</t>
        </is>
      </c>
      <c r="F6" s="1" t="inlineStr">
        <is>
          <t>手作業が必要な収穫作業において、繊細な作業ができる人材が求められる。</t>
        </is>
      </c>
      <c r="G6" s="1" t="inlineStr">
        <is>
          <t>やさしい日本語講座を通じた細やかなコミュニケーション支援を強調し、作業ミスの防止をアピール。</t>
        </is>
      </c>
      <c r="H6" s="1" t="n"/>
      <c r="I6" s="1" t="n"/>
      <c r="J6" s="1" t="n"/>
      <c r="K6" s="1" t="n"/>
      <c r="L6" s="1" t="n"/>
      <c r="M6" s="1" t="n"/>
      <c r="N6" s="1" t="n"/>
      <c r="O6" s="1" t="n"/>
      <c r="P6" s="1" t="n"/>
      <c r="Q6" s="1" t="n"/>
      <c r="R6" s="1" t="n"/>
      <c r="S6" s="1" t="n"/>
      <c r="T6" s="1" t="n"/>
      <c r="U6" s="1" t="n"/>
      <c r="V6" s="1" t="n"/>
      <c r="W6" s="1" t="n"/>
      <c r="X6" s="1" t="n"/>
      <c r="Y6" s="1" t="n"/>
      <c r="Z6" s="1" t="n"/>
      <c r="AA6" s="1" t="n"/>
      <c r="AB6" s="1" t="n"/>
      <c r="AC6" s="1" t="n"/>
      <c r="AD6" s="1" t="n"/>
      <c r="AE6" s="1" t="n"/>
      <c r="AF6" s="1" t="n"/>
      <c r="AG6" s="1" t="inlineStr">
        <is>
          <t>BREXA CrossBorder</t>
        </is>
      </c>
      <c r="AH6" s="1" t="inlineStr">
        <is>
          <t>武田 悦郎</t>
        </is>
      </c>
      <c r="AI6" s="1" t="n"/>
      <c r="AJ6" s="1" t="n"/>
      <c r="AK6" s="1" t="n"/>
      <c r="AL6" s="1" t="n"/>
      <c r="AM6" s="1" t="n"/>
      <c r="AN6" s="1" t="n"/>
      <c r="AO6">
        <f>COUNTIFS(加電履歴!$F:$F,A6,加電履歴!$E:$E,"JAリスト")</f>
        <v/>
      </c>
      <c r="AP6" s="10">
        <f>IFERROR(IF(COUNTIFS(加電履歴!$F:$F,A6,加電履歴!$E:$E,"JAリスト")=0,"",MAXIFS(加電履歴!$B:$B,加電履歴!$F:$F,A6,加電履歴!$E:$E,"JAリスト")),"")</f>
        <v/>
      </c>
      <c r="AQ6">
        <f>IFERROR(IF(COUNTIFS(加電履歴!$F:$F,A6,加電履歴!$E:$E,"JAリスト")=0,"",INDEX(加電履歴!$I:$I,MATCH(1,(加電履歴!$F:$F=A6)*(加電履歴!$E:$E="JAリスト")*(加電履歴!$B:$B=MAXIFS(加電履歴!$B:$B,加電履歴!$F:$F,A6,加電履歴!$E:$E,"JAリスト")),0))),"")</f>
        <v/>
      </c>
    </row>
    <row r="7" ht="12.5" customHeight="1">
      <c r="A7" s="1" t="inlineStr">
        <is>
          <t>JAびばい</t>
        </is>
      </c>
      <c r="C7" s="1" t="inlineStr">
        <is>
          <t>美唄市</t>
        </is>
      </c>
      <c r="D7" s="1" t="inlineStr">
        <is>
          <t>0126-62-2141</t>
        </is>
      </c>
      <c r="E7" s="1" t="inlineStr">
        <is>
          <t>米、グリーンアスパラ、雪中キャベツ。</t>
        </is>
      </c>
      <c r="F7" s="1" t="inlineStr">
        <is>
          <t>冬季の特産品もあり、年間を通した労働力の確保が課題。</t>
        </is>
      </c>
      <c r="G7" s="1" t="inlineStr">
        <is>
          <t>通年雇用を前提とした人材配置。補助金活用によるコスト削減効果をシミュレーションして提示。</t>
        </is>
      </c>
      <c r="H7" s="1" t="n"/>
      <c r="I7" s="1" t="n"/>
      <c r="J7" s="1" t="n"/>
      <c r="K7" s="1" t="n"/>
      <c r="L7" s="1" t="n"/>
      <c r="M7" s="1" t="n"/>
      <c r="N7" s="1" t="n"/>
      <c r="O7" s="1" t="n"/>
      <c r="P7" s="1" t="n"/>
      <c r="Q7" s="1" t="n"/>
      <c r="R7" s="1" t="n"/>
      <c r="S7" s="1" t="n"/>
      <c r="T7" s="1" t="n"/>
      <c r="U7" s="1" t="n"/>
      <c r="V7" s="1" t="n"/>
      <c r="W7" s="1" t="n"/>
      <c r="X7" s="1" t="n"/>
      <c r="Y7" s="1" t="n"/>
      <c r="Z7" s="1" t="n"/>
      <c r="AA7" s="1" t="n"/>
      <c r="AB7" s="1" t="n"/>
      <c r="AC7" s="1" t="n"/>
      <c r="AD7" s="1" t="n"/>
      <c r="AE7" s="1" t="n"/>
      <c r="AF7" s="1" t="n"/>
      <c r="AG7" s="1" t="inlineStr">
        <is>
          <t>BREXA CrossBorder</t>
        </is>
      </c>
      <c r="AH7" s="1" t="inlineStr">
        <is>
          <t>武田 悦郎</t>
        </is>
      </c>
      <c r="AI7" s="1" t="n"/>
      <c r="AJ7" s="1" t="n"/>
      <c r="AK7" s="1" t="n"/>
      <c r="AL7" s="1" t="n"/>
      <c r="AM7" s="1" t="n"/>
      <c r="AN7" s="1" t="n"/>
      <c r="AO7">
        <f>COUNTIFS(加電履歴!$F:$F,A7,加電履歴!$E:$E,"JAリスト")</f>
        <v/>
      </c>
      <c r="AP7" s="10">
        <f>IFERROR(IF(COUNTIFS(加電履歴!$F:$F,A7,加電履歴!$E:$E,"JAリスト")=0,"",MAXIFS(加電履歴!$B:$B,加電履歴!$F:$F,A7,加電履歴!$E:$E,"JAリスト")),"")</f>
        <v/>
      </c>
      <c r="AQ7">
        <f>IFERROR(IF(COUNTIFS(加電履歴!$F:$F,A7,加電履歴!$E:$E,"JAリスト")=0,"",INDEX(加電履歴!$I:$I,MATCH(1,(加電履歴!$F:$F=A7)*(加電履歴!$E:$E="JAリスト")*(加電履歴!$B:$B=MAXIFS(加電履歴!$B:$B,加電履歴!$F:$F,A7,加電履歴!$E:$E,"JAリスト")),0))),"")</f>
        <v/>
      </c>
    </row>
    <row r="8" ht="12.5" customHeight="1">
      <c r="A8" s="1" t="inlineStr">
        <is>
          <t>JAたきかわ</t>
        </is>
      </c>
      <c r="C8" s="1" t="inlineStr">
        <is>
          <t>滝川市</t>
        </is>
      </c>
      <c r="D8" s="1" t="inlineStr">
        <is>
          <t>0125-23-2400</t>
        </is>
      </c>
      <c r="E8" s="1" t="inlineStr">
        <is>
          <t>りんご、米、菜の花、小麦、玉ねぎ。</t>
        </is>
      </c>
      <c r="F8" s="1" t="inlineStr">
        <is>
          <t>果樹の剪定や収穫など、技術習得が必要な作業が多い。</t>
        </is>
      </c>
      <c r="G8" s="1" t="inlineStr">
        <is>
          <t>長期就労を見据えた技能実習からの移行支援と、継続的な語学・生活サポートを提案。</t>
        </is>
      </c>
      <c r="H8" s="1" t="n"/>
      <c r="I8" s="1" t="n"/>
      <c r="J8" s="1" t="n"/>
      <c r="K8" s="1" t="n"/>
      <c r="L8" s="1" t="n"/>
      <c r="M8" s="1" t="n"/>
      <c r="N8" s="1" t="n"/>
      <c r="O8" s="1" t="n"/>
      <c r="P8" s="1" t="n"/>
      <c r="Q8" s="1" t="n"/>
      <c r="R8" s="1" t="n"/>
      <c r="S8" s="1" t="n"/>
      <c r="T8" s="1" t="n"/>
      <c r="U8" s="1" t="n"/>
      <c r="V8" s="1" t="n"/>
      <c r="W8" s="1" t="n"/>
      <c r="X8" s="1" t="n"/>
      <c r="Y8" s="1" t="n"/>
      <c r="Z8" s="1" t="n"/>
      <c r="AA8" s="1" t="n"/>
      <c r="AB8" s="1" t="n"/>
      <c r="AC8" s="1" t="n"/>
      <c r="AD8" s="1" t="n"/>
      <c r="AE8" s="1" t="n"/>
      <c r="AF8" s="1" t="n"/>
      <c r="AG8" s="1" t="inlineStr">
        <is>
          <t>BREXA CrossBorder</t>
        </is>
      </c>
      <c r="AH8" s="1" t="inlineStr">
        <is>
          <t>武田 悦郎</t>
        </is>
      </c>
      <c r="AI8" s="1" t="n"/>
      <c r="AJ8" s="1" t="n"/>
      <c r="AK8" s="1" t="n"/>
      <c r="AL8" s="1" t="n"/>
      <c r="AM8" s="1" t="n"/>
      <c r="AN8" s="1" t="n"/>
      <c r="AO8">
        <f>COUNTIFS(加電履歴!$F:$F,A8,加電履歴!$E:$E,"JAリスト")</f>
        <v/>
      </c>
      <c r="AP8" s="10">
        <f>IFERROR(IF(COUNTIFS(加電履歴!$F:$F,A8,加電履歴!$E:$E,"JAリスト")=0,"",MAXIFS(加電履歴!$B:$B,加電履歴!$F:$F,A8,加電履歴!$E:$E,"JAリスト")),"")</f>
        <v/>
      </c>
      <c r="AQ8">
        <f>IFERROR(IF(COUNTIFS(加電履歴!$F:$F,A8,加電履歴!$E:$E,"JAリスト")=0,"",INDEX(加電履歴!$I:$I,MATCH(1,(加電履歴!$F:$F=A8)*(加電履歴!$E:$E="JAリスト")*(加電履歴!$B:$B=MAXIFS(加電履歴!$B:$B,加電履歴!$F:$F,A8,加電履歴!$E:$E,"JAリスト")),0))),"")</f>
        <v/>
      </c>
    </row>
    <row r="9" ht="12.5" customHeight="1">
      <c r="A9" s="1" t="inlineStr">
        <is>
          <t>JA新すながわ</t>
        </is>
      </c>
      <c r="C9" s="1" t="inlineStr">
        <is>
          <t>砂川市</t>
        </is>
      </c>
      <c r="D9" s="1" t="inlineStr">
        <is>
          <t>0125-54-3181</t>
        </is>
      </c>
      <c r="E9" s="1" t="inlineStr">
        <is>
          <t>ゆめぴりか等の高品質米、トマト。</t>
        </is>
      </c>
      <c r="F9" s="1" t="inlineStr">
        <is>
          <t>ハウス栽培における温度管理や収穫作業の労働力不足。</t>
        </is>
      </c>
      <c r="G9" s="1" t="inlineStr">
        <is>
          <t>リスクのない完全成果報酬型モデルを強調し、初めての外国人材受け入れテスト導入を打診。</t>
        </is>
      </c>
      <c r="H9" s="1" t="n"/>
      <c r="I9" s="1" t="n"/>
      <c r="J9" s="1" t="n"/>
      <c r="K9" s="1" t="n"/>
      <c r="L9" s="1" t="n"/>
      <c r="M9" s="1" t="n"/>
      <c r="N9" s="1" t="n"/>
      <c r="O9" s="1" t="n"/>
      <c r="P9" s="1" t="n"/>
      <c r="Q9" s="1" t="n"/>
      <c r="R9" s="1" t="n"/>
      <c r="S9" s="1" t="n"/>
      <c r="T9" s="1" t="n"/>
      <c r="U9" s="1" t="n"/>
      <c r="V9" s="1" t="n"/>
      <c r="W9" s="1" t="n"/>
      <c r="X9" s="1" t="n"/>
      <c r="Y9" s="1" t="n"/>
      <c r="Z9" s="1" t="n"/>
      <c r="AA9" s="1" t="n"/>
      <c r="AB9" s="1" t="n"/>
      <c r="AC9" s="1" t="n"/>
      <c r="AD9" s="1" t="n"/>
      <c r="AE9" s="1" t="n"/>
      <c r="AF9" s="1" t="n"/>
      <c r="AG9" s="1" t="inlineStr">
        <is>
          <t>BREXA CrossBorder</t>
        </is>
      </c>
      <c r="AH9" s="1" t="inlineStr">
        <is>
          <t>武田 悦郎</t>
        </is>
      </c>
      <c r="AI9" s="1" t="n"/>
      <c r="AJ9" s="1" t="n"/>
      <c r="AK9" s="1" t="n"/>
      <c r="AL9" s="1" t="n"/>
      <c r="AM9" s="1" t="n"/>
      <c r="AN9" s="1" t="n"/>
      <c r="AO9">
        <f>COUNTIFS(加電履歴!$F:$F,A9,加電履歴!$E:$E,"JAリスト")</f>
        <v/>
      </c>
      <c r="AP9" s="10">
        <f>IFERROR(IF(COUNTIFS(加電履歴!$F:$F,A9,加電履歴!$E:$E,"JAリスト")=0,"",MAXIFS(加電履歴!$B:$B,加電履歴!$F:$F,A9,加電履歴!$E:$E,"JAリスト")),"")</f>
        <v/>
      </c>
      <c r="AQ9">
        <f>IFERROR(IF(COUNTIFS(加電履歴!$F:$F,A9,加電履歴!$E:$E,"JAリスト")=0,"",INDEX(加電履歴!$I:$I,MATCH(1,(加電履歴!$F:$F=A9)*(加電履歴!$E:$E="JAリスト")*(加電履歴!$B:$B=MAXIFS(加電履歴!$B:$B,加電履歴!$F:$F,A9,加電履歴!$E:$E,"JAリスト")),0))),"")</f>
        <v/>
      </c>
    </row>
    <row r="10" ht="12.5" customHeight="1">
      <c r="A10" s="1" t="inlineStr">
        <is>
          <t>JA月形町</t>
        </is>
      </c>
      <c r="C10" s="1" t="inlineStr">
        <is>
          <t>月形町</t>
        </is>
      </c>
      <c r="D10" s="1" t="inlineStr">
        <is>
          <t>0126-53-2311</t>
        </is>
      </c>
      <c r="E10" s="1" t="inlineStr">
        <is>
          <t>花き（切り花）、メロン、スイカ、トマト。</t>
        </is>
      </c>
      <c r="F10" s="1" t="inlineStr">
        <is>
          <t>花き栽培は手作業が多く、繁忙期の労働力確保が死活問題。</t>
        </is>
      </c>
      <c r="G10" s="1" t="inlineStr">
        <is>
          <t>繊細な作業指示が伝わるよう、独自の語学教育プログラム（異文化理解・日本語講座）を強みとする。</t>
        </is>
      </c>
      <c r="H10" s="1" t="n"/>
      <c r="I10" s="1" t="n"/>
      <c r="J10" s="1" t="n"/>
      <c r="K10" s="1" t="n"/>
      <c r="L10" s="1" t="n"/>
      <c r="M10" s="1" t="n"/>
      <c r="N10" s="1" t="n"/>
      <c r="O10" s="1" t="n"/>
      <c r="P10" s="1" t="n"/>
      <c r="Q10" s="1" t="n"/>
      <c r="R10" s="1" t="n"/>
      <c r="S10" s="1" t="n"/>
      <c r="T10" s="1" t="n"/>
      <c r="U10" s="1" t="n"/>
      <c r="V10" s="1" t="n"/>
      <c r="W10" s="1" t="n"/>
      <c r="X10" s="1" t="n"/>
      <c r="Y10" s="1" t="n"/>
      <c r="Z10" s="1" t="n"/>
      <c r="AA10" s="1" t="n"/>
      <c r="AB10" s="1" t="n"/>
      <c r="AC10" s="1" t="n"/>
      <c r="AD10" s="1" t="n"/>
      <c r="AE10" s="1" t="n"/>
      <c r="AF10" s="1" t="n"/>
      <c r="AG10" s="1" t="inlineStr">
        <is>
          <t>BREXA CrossBorder</t>
        </is>
      </c>
      <c r="AH10" s="1" t="inlineStr">
        <is>
          <t>武田 悦郎</t>
        </is>
      </c>
      <c r="AI10" s="1" t="n"/>
      <c r="AJ10" s="1" t="n"/>
      <c r="AK10" s="1" t="n"/>
      <c r="AL10" s="1" t="n"/>
      <c r="AM10" s="1" t="n"/>
      <c r="AN10" s="1" t="n"/>
      <c r="AO10">
        <f>COUNTIFS(加電履歴!$F:$F,A10,加電履歴!$E:$E,"JAリスト")</f>
        <v/>
      </c>
      <c r="AP10" s="10">
        <f>IFERROR(IF(COUNTIFS(加電履歴!$F:$F,A10,加電履歴!$E:$E,"JAリスト")=0,"",MAXIFS(加電履歴!$B:$B,加電履歴!$F:$F,A10,加電履歴!$E:$E,"JAリスト")),"")</f>
        <v/>
      </c>
      <c r="AQ10">
        <f>IFERROR(IF(COUNTIFS(加電履歴!$F:$F,A10,加電履歴!$E:$E,"JAリスト")=0,"",INDEX(加電履歴!$I:$I,MATCH(1,(加電履歴!$F:$F=A10)*(加電履歴!$E:$E="JAリスト")*(加電履歴!$B:$B=MAXIFS(加電履歴!$B:$B,加電履歴!$F:$F,A10,加電履歴!$E:$E,"JAリスト")),0))),"")</f>
        <v/>
      </c>
    </row>
    <row r="11" ht="12.5" customHeight="1">
      <c r="A11" s="1" t="inlineStr">
        <is>
          <t>JAきたそらち</t>
        </is>
      </c>
      <c r="C11" s="1" t="inlineStr">
        <is>
          <t>深川市</t>
        </is>
      </c>
      <c r="D11" s="1" t="inlineStr">
        <is>
          <t>0164-22-6618</t>
        </is>
      </c>
      <c r="E11" s="1" t="inlineStr">
        <is>
          <t>米、そば、りんご、メロン。</t>
        </is>
      </c>
      <c r="F11" s="1" t="inlineStr">
        <is>
          <t>そばや米の大規模栽培における収穫補助、選果場での人材不足。</t>
        </is>
      </c>
      <c r="G11" s="1" t="inlineStr">
        <is>
          <t>補助金申請サポートを含む一気通貫の支援体制を提示し、組合員（農家）への直接紹介を仰ぐ。</t>
        </is>
      </c>
      <c r="H11" s="1" t="n"/>
      <c r="I11" s="1" t="n"/>
      <c r="J11" s="1" t="n"/>
      <c r="K11" s="1" t="n"/>
      <c r="L11" s="1" t="n"/>
      <c r="M11" s="1" t="n"/>
      <c r="N11" s="1" t="n"/>
      <c r="O11" s="1" t="n"/>
      <c r="P11" s="1" t="n"/>
      <c r="Q11" s="1" t="n"/>
      <c r="R11" s="1" t="n"/>
      <c r="S11" s="1" t="n"/>
      <c r="T11" s="1" t="n"/>
      <c r="U11" s="1" t="n"/>
      <c r="V11" s="1" t="n"/>
      <c r="W11" s="1" t="n"/>
      <c r="X11" s="1" t="n"/>
      <c r="Y11" s="1" t="n"/>
      <c r="Z11" s="1" t="n"/>
      <c r="AA11" s="1" t="n"/>
      <c r="AB11" s="1" t="n"/>
      <c r="AC11" s="1" t="n"/>
      <c r="AD11" s="1" t="n"/>
      <c r="AE11" s="1" t="n"/>
      <c r="AF11" s="1" t="n"/>
      <c r="AG11" s="1" t="inlineStr">
        <is>
          <t>BREXA CrossBorder</t>
        </is>
      </c>
      <c r="AH11" s="1" t="inlineStr">
        <is>
          <t>武田 悦郎</t>
        </is>
      </c>
      <c r="AI11" s="1" t="n"/>
      <c r="AJ11" s="1" t="n"/>
      <c r="AK11" s="1" t="n"/>
      <c r="AL11" s="1" t="n"/>
      <c r="AM11" s="1" t="n"/>
      <c r="AN11" s="1" t="n"/>
      <c r="AO11">
        <f>COUNTIFS(加電履歴!$F:$F,A11,加電履歴!$E:$E,"JAリスト")</f>
        <v/>
      </c>
      <c r="AP11" s="10">
        <f>IFERROR(IF(COUNTIFS(加電履歴!$F:$F,A11,加電履歴!$E:$E,"JAリスト")=0,"",MAXIFS(加電履歴!$B:$B,加電履歴!$F:$F,A11,加電履歴!$E:$E,"JAリスト")),"")</f>
        <v/>
      </c>
      <c r="AQ11">
        <f>IFERROR(IF(COUNTIFS(加電履歴!$F:$F,A11,加電履歴!$E:$E,"JAリスト")=0,"",INDEX(加電履歴!$I:$I,MATCH(1,(加電履歴!$F:$F=A11)*(加電履歴!$E:$E="JAリスト")*(加電履歴!$B:$B=MAXIFS(加電履歴!$B:$B,加電履歴!$F:$F,A11,加電履歴!$E:$E,"JAリスト")),0))),"")</f>
        <v/>
      </c>
    </row>
    <row r="12" ht="12.5" customHeight="1">
      <c r="A12" s="1" t="inlineStr">
        <is>
          <t>JA北いぶき</t>
        </is>
      </c>
      <c r="C12" s="1" t="inlineStr">
        <is>
          <t>秩父別町</t>
        </is>
      </c>
      <c r="D12" s="1" t="inlineStr">
        <is>
          <t>0164-33-2011</t>
        </is>
      </c>
      <c r="E12" s="1" t="inlineStr">
        <is>
          <t>トマト、ブロッコリー、米。</t>
        </is>
      </c>
      <c r="F12" s="1" t="inlineStr">
        <is>
          <t>鮮度が命の作物において、収穫タイミングを逃さないための人員確保。</t>
        </is>
      </c>
      <c r="G12" s="1" t="inlineStr">
        <is>
          <t>語学教育の知見を活かした「現場で使える日本語」の事前教育を強調し、即戦力化をアピール。</t>
        </is>
      </c>
      <c r="H12" s="1" t="n"/>
      <c r="I12" s="1" t="n"/>
      <c r="J12" s="1" t="n"/>
      <c r="K12" s="1" t="n"/>
      <c r="L12" s="1" t="n"/>
      <c r="M12" s="1" t="n"/>
      <c r="N12" s="1" t="n"/>
      <c r="O12" s="1" t="n"/>
      <c r="P12" s="1" t="n"/>
      <c r="Q12" s="1" t="n"/>
      <c r="R12" s="1" t="n"/>
      <c r="S12" s="1" t="n"/>
      <c r="T12" s="1" t="n"/>
      <c r="U12" s="1" t="n"/>
      <c r="V12" s="1" t="n"/>
      <c r="W12" s="1" t="n"/>
      <c r="X12" s="1" t="n"/>
      <c r="Y12" s="1" t="n"/>
      <c r="Z12" s="1" t="n"/>
      <c r="AA12" s="1" t="n"/>
      <c r="AB12" s="1" t="n"/>
      <c r="AC12" s="1" t="n"/>
      <c r="AD12" s="1" t="n"/>
      <c r="AE12" s="1" t="n"/>
      <c r="AF12" s="1" t="n"/>
      <c r="AG12" s="1" t="inlineStr">
        <is>
          <t>BREXA CrossBorder</t>
        </is>
      </c>
      <c r="AH12" s="1" t="inlineStr">
        <is>
          <t>武田 悦郎</t>
        </is>
      </c>
      <c r="AI12" s="1" t="n"/>
      <c r="AJ12" s="1" t="n"/>
      <c r="AK12" s="1" t="n"/>
      <c r="AL12" s="1" t="n"/>
      <c r="AM12" s="1" t="n"/>
      <c r="AN12" s="1" t="n"/>
      <c r="AO12">
        <f>COUNTIFS(加電履歴!$F:$F,A12,加電履歴!$E:$E,"JAリスト")</f>
        <v/>
      </c>
      <c r="AP12" s="10">
        <f>IFERROR(IF(COUNTIFS(加電履歴!$F:$F,A12,加電履歴!$E:$E,"JAリスト")=0,"",MAXIFS(加電履歴!$B:$B,加電履歴!$F:$F,A12,加電履歴!$E:$E,"JAリスト")),"")</f>
        <v/>
      </c>
      <c r="AQ12">
        <f>IFERROR(IF(COUNTIFS(加電履歴!$F:$F,A12,加電履歴!$E:$E,"JAリスト")=0,"",INDEX(加電履歴!$I:$I,MATCH(1,(加電履歴!$F:$F=A12)*(加電履歴!$E:$E="JAリスト")*(加電履歴!$B:$B=MAXIFS(加電履歴!$B:$B,加電履歴!$F:$F,A12,加電履歴!$E:$E,"JAリスト")),0))),"")</f>
        <v/>
      </c>
    </row>
    <row r="13" ht="12.5" customHeight="1">
      <c r="A13" s="1" t="inlineStr">
        <is>
          <t>JAピンネ</t>
        </is>
      </c>
      <c r="C13" s="1" t="inlineStr">
        <is>
          <t>新十津川町</t>
        </is>
      </c>
      <c r="D13" s="1" t="inlineStr">
        <is>
          <t>0125-76-2221</t>
        </is>
      </c>
      <c r="E13" s="1" t="inlineStr">
        <is>
          <t>米、メロン、アスパラガス。</t>
        </is>
      </c>
      <c r="F13" s="1" t="inlineStr">
        <is>
          <t>農業従事者の高齢化が顕著であり、若手労働力の確保が急務。</t>
        </is>
      </c>
      <c r="G13" s="1" t="inlineStr">
        <is>
          <t>初期費用の持ち出しがないスキームを説明し、若手特定技能人材による事業継承サポートを提案。</t>
        </is>
      </c>
      <c r="H13" s="1" t="n"/>
      <c r="I13" s="1" t="n"/>
      <c r="J13" s="1" t="n"/>
      <c r="K13" s="1" t="n"/>
      <c r="L13" s="1" t="n"/>
      <c r="M13" s="1" t="n"/>
      <c r="N13" s="1" t="n"/>
      <c r="O13" s="1" t="n"/>
      <c r="P13" s="1" t="n"/>
      <c r="Q13" s="1" t="n"/>
      <c r="R13" s="1" t="n"/>
      <c r="S13" s="1" t="n"/>
      <c r="T13" s="1" t="n"/>
      <c r="U13" s="1" t="n"/>
      <c r="V13" s="1" t="n"/>
      <c r="W13" s="1" t="n"/>
      <c r="X13" s="1" t="n"/>
      <c r="Y13" s="1" t="n"/>
      <c r="Z13" s="1" t="n"/>
      <c r="AA13" s="1" t="n"/>
      <c r="AB13" s="1" t="n"/>
      <c r="AC13" s="1" t="n"/>
      <c r="AD13" s="1" t="n"/>
      <c r="AE13" s="1" t="n"/>
      <c r="AF13" s="1" t="n"/>
      <c r="AG13" s="1" t="inlineStr">
        <is>
          <t>BREXA CrossBorder</t>
        </is>
      </c>
      <c r="AH13" s="1" t="inlineStr">
        <is>
          <t>武田 悦郎</t>
        </is>
      </c>
      <c r="AI13" s="1" t="n"/>
      <c r="AJ13" s="1" t="n"/>
      <c r="AK13" s="1" t="n"/>
      <c r="AL13" s="1" t="n"/>
      <c r="AM13" s="1" t="n"/>
      <c r="AN13" s="1" t="n"/>
      <c r="AO13">
        <f>COUNTIFS(加電履歴!$F:$F,A13,加電履歴!$E:$E,"JAリスト")</f>
        <v/>
      </c>
      <c r="AP13" s="10">
        <f>IFERROR(IF(COUNTIFS(加電履歴!$F:$F,A13,加電履歴!$E:$E,"JAリスト")=0,"",MAXIFS(加電履歴!$B:$B,加電履歴!$F:$F,A13,加電履歴!$E:$E,"JAリスト")),"")</f>
        <v/>
      </c>
      <c r="AQ13">
        <f>IFERROR(IF(COUNTIFS(加電履歴!$F:$F,A13,加電履歴!$E:$E,"JAリスト")=0,"",INDEX(加電履歴!$I:$I,MATCH(1,(加電履歴!$F:$F=A13)*(加電履歴!$E:$E="JAリスト")*(加電履歴!$B:$B=MAXIFS(加電履歴!$B:$B,加電履歴!$F:$F,A13,加電履歴!$E:$E,"JAリスト")),0))),"")</f>
        <v/>
      </c>
    </row>
    <row r="14" ht="12.5" customHeight="1">
      <c r="A14" s="1" t="inlineStr">
        <is>
          <t>JA余市町</t>
        </is>
      </c>
      <c r="C14" s="1" t="inlineStr">
        <is>
          <t>余市町</t>
        </is>
      </c>
      <c r="D14" s="1" t="inlineStr">
        <is>
          <t>0135-23-3121</t>
        </is>
      </c>
      <c r="E14" s="1" t="inlineStr">
        <is>
          <t>りんご、ぶどう（ワイン用含む）、さくらんぼ。</t>
        </is>
      </c>
      <c r="F14" s="1" t="inlineStr">
        <is>
          <t>ワイン用ぶどうの収穫など、季節ごとの労働ピークが激しい。</t>
        </is>
      </c>
      <c r="G14" s="1" t="inlineStr">
        <is>
          <t>農業だけでなく、飲食料品製造（ワイナリー等）の特定技能人材も視野に入れたハイブリッド提案。</t>
        </is>
      </c>
      <c r="H14" s="1" t="n"/>
      <c r="I14" s="1" t="n"/>
      <c r="J14" s="1" t="n"/>
      <c r="K14" s="1" t="n"/>
      <c r="L14" s="1" t="n"/>
      <c r="M14" s="1" t="n"/>
      <c r="N14" s="1" t="n"/>
      <c r="O14" s="1" t="n"/>
      <c r="P14" s="1" t="n"/>
      <c r="Q14" s="1" t="n"/>
      <c r="R14" s="1" t="n"/>
      <c r="S14" s="1" t="n"/>
      <c r="T14" s="1" t="n"/>
      <c r="U14" s="1" t="n"/>
      <c r="V14" s="1" t="n"/>
      <c r="W14" s="1" t="n"/>
      <c r="X14" s="1" t="n"/>
      <c r="Y14" s="1" t="n"/>
      <c r="Z14" s="1" t="n"/>
      <c r="AA14" s="1" t="n"/>
      <c r="AB14" s="1" t="n"/>
      <c r="AC14" s="1" t="n"/>
      <c r="AD14" s="1" t="n"/>
      <c r="AE14" s="1" t="n"/>
      <c r="AF14" s="1" t="n"/>
      <c r="AG14" s="1" t="inlineStr">
        <is>
          <t>BREXA CrossBorder</t>
        </is>
      </c>
      <c r="AH14" s="1" t="inlineStr">
        <is>
          <t>武田 悦郎</t>
        </is>
      </c>
      <c r="AI14" s="1" t="n"/>
      <c r="AJ14" s="1" t="n"/>
      <c r="AK14" s="1" t="n"/>
      <c r="AL14" s="1" t="n"/>
      <c r="AM14" s="1" t="n"/>
      <c r="AN14" s="1" t="n"/>
      <c r="AO14">
        <f>COUNTIFS(加電履歴!$F:$F,A14,加電履歴!$E:$E,"JAリスト")</f>
        <v/>
      </c>
      <c r="AP14" s="10">
        <f>IFERROR(IF(COUNTIFS(加電履歴!$F:$F,A14,加電履歴!$E:$E,"JAリスト")=0,"",MAXIFS(加電履歴!$B:$B,加電履歴!$F:$F,A14,加電履歴!$E:$E,"JAリスト")),"")</f>
        <v/>
      </c>
      <c r="AQ14">
        <f>IFERROR(IF(COUNTIFS(加電履歴!$F:$F,A14,加電履歴!$E:$E,"JAリスト")=0,"",INDEX(加電履歴!$I:$I,MATCH(1,(加電履歴!$F:$F=A14)*(加電履歴!$E:$E="JAリスト")*(加電履歴!$B:$B=MAXIFS(加電履歴!$B:$B,加電履歴!$F:$F,A14,加電履歴!$E:$E,"JAリスト")),0))),"")</f>
        <v/>
      </c>
    </row>
    <row r="15" ht="12.5" customHeight="1">
      <c r="A15" s="1" t="inlineStr">
        <is>
          <t>JAきょうわ</t>
        </is>
      </c>
      <c r="C15" s="1" t="inlineStr">
        <is>
          <t>共和町</t>
        </is>
      </c>
      <c r="D15" s="1" t="inlineStr">
        <is>
          <t>0135-73-2121</t>
        </is>
      </c>
      <c r="E15" s="1" t="inlineStr">
        <is>
          <t>らいでんメロン、スイカ、米。</t>
        </is>
      </c>
      <c r="F15" s="1" t="inlineStr">
        <is>
          <t>ブランドフルーツの品質を維持するための、丁寧な管理作業の担い手不足。</t>
        </is>
      </c>
      <c r="G15" s="1" t="inlineStr">
        <is>
          <t>手厚い生活サポートと日本語教育により、地域に馴染み責任感を持って働く人材を約束。</t>
        </is>
      </c>
      <c r="H15" s="1" t="n"/>
      <c r="I15" s="1" t="n"/>
      <c r="J15" s="1" t="n"/>
      <c r="K15" s="1" t="n"/>
      <c r="L15" s="1" t="n"/>
      <c r="M15" s="1" t="n"/>
      <c r="N15" s="1" t="n"/>
      <c r="O15" s="1" t="n"/>
      <c r="P15" s="1" t="n"/>
      <c r="Q15" s="1" t="n"/>
      <c r="R15" s="1" t="n"/>
      <c r="S15" s="1" t="n"/>
      <c r="T15" s="1" t="n"/>
      <c r="U15" s="1" t="n"/>
      <c r="V15" s="1" t="n"/>
      <c r="W15" s="1" t="n"/>
      <c r="X15" s="1" t="n"/>
      <c r="Y15" s="1" t="n"/>
      <c r="Z15" s="1" t="n"/>
      <c r="AA15" s="1" t="n"/>
      <c r="AB15" s="1" t="n"/>
      <c r="AC15" s="1" t="n"/>
      <c r="AD15" s="1" t="n"/>
      <c r="AE15" s="1" t="n"/>
      <c r="AF15" s="1" t="n"/>
      <c r="AG15" s="1" t="inlineStr">
        <is>
          <t>BREXA CrossBorder</t>
        </is>
      </c>
      <c r="AH15" s="1" t="inlineStr">
        <is>
          <t>武田 悦郎</t>
        </is>
      </c>
      <c r="AI15" s="1" t="n"/>
      <c r="AJ15" s="1" t="n"/>
      <c r="AK15" s="1" t="n"/>
      <c r="AL15" s="1" t="n"/>
      <c r="AM15" s="1" t="n"/>
      <c r="AN15" s="1" t="n"/>
      <c r="AO15">
        <f>COUNTIFS(加電履歴!$F:$F,A15,加電履歴!$E:$E,"JAリスト")</f>
        <v/>
      </c>
      <c r="AP15" s="10">
        <f>IFERROR(IF(COUNTIFS(加電履歴!$F:$F,A15,加電履歴!$E:$E,"JAリスト")=0,"",MAXIFS(加電履歴!$B:$B,加電履歴!$F:$F,A15,加電履歴!$E:$E,"JAリスト")),"")</f>
        <v/>
      </c>
      <c r="AQ15">
        <f>IFERROR(IF(COUNTIFS(加電履歴!$F:$F,A15,加電履歴!$E:$E,"JAリスト")=0,"",INDEX(加電履歴!$I:$I,MATCH(1,(加電履歴!$F:$F=A15)*(加電履歴!$E:$E="JAリスト")*(加電履歴!$B:$B=MAXIFS(加電履歴!$B:$B,加電履歴!$F:$F,A15,加電履歴!$E:$E,"JAリスト")),0))),"")</f>
        <v/>
      </c>
    </row>
    <row r="16" ht="12.5" customHeight="1">
      <c r="A16" s="1" t="inlineStr">
        <is>
          <t>JA新おたる</t>
        </is>
      </c>
      <c r="C16" s="1" t="inlineStr">
        <is>
          <t>仁木町</t>
        </is>
      </c>
      <c r="D16" s="1" t="inlineStr">
        <is>
          <t>0135-32-2525</t>
        </is>
      </c>
      <c r="E16" s="1" t="inlineStr">
        <is>
          <t>さくらんぼ、ぶどう、トマト。</t>
        </is>
      </c>
      <c r="F16" s="1" t="inlineStr">
        <is>
          <t>観光農園としての側面もあり、接客や直売所対応ができる人材が必要。</t>
        </is>
      </c>
      <c r="G16" s="1" t="inlineStr">
        <is>
          <t>語学教育のバックグラウンドを活かし、日本語コミュニケーションが可能な人材のスクリーニングを提案。</t>
        </is>
      </c>
      <c r="H16" s="1" t="n"/>
      <c r="I16" s="1" t="n"/>
      <c r="J16" s="1" t="n"/>
      <c r="K16" s="1" t="n"/>
      <c r="L16" s="1" t="n"/>
      <c r="M16" s="1" t="n"/>
      <c r="N16" s="1" t="n"/>
      <c r="O16" s="1" t="n"/>
      <c r="P16" s="1" t="n"/>
      <c r="Q16" s="1" t="n"/>
      <c r="R16" s="1" t="n"/>
      <c r="S16" s="1" t="n"/>
      <c r="T16" s="1" t="n"/>
      <c r="U16" s="1" t="n"/>
      <c r="V16" s="1" t="n"/>
      <c r="W16" s="1" t="n"/>
      <c r="X16" s="1" t="n"/>
      <c r="Y16" s="1" t="n"/>
      <c r="Z16" s="1" t="n"/>
      <c r="AA16" s="1" t="n"/>
      <c r="AB16" s="1" t="n"/>
      <c r="AC16" s="1" t="n"/>
      <c r="AD16" s="1" t="n"/>
      <c r="AE16" s="1" t="n"/>
      <c r="AF16" s="1" t="n"/>
      <c r="AG16" s="1" t="inlineStr">
        <is>
          <t>BREXA CrossBorder</t>
        </is>
      </c>
      <c r="AH16" s="1" t="inlineStr">
        <is>
          <t>武田 悦郎</t>
        </is>
      </c>
      <c r="AI16" s="1" t="n"/>
      <c r="AJ16" s="1" t="n"/>
      <c r="AK16" s="1" t="n"/>
      <c r="AL16" s="1" t="n"/>
      <c r="AM16" s="1" t="n"/>
      <c r="AN16" s="1" t="n"/>
      <c r="AO16">
        <f>COUNTIFS(加電履歴!$F:$F,A16,加電履歴!$E:$E,"JAリスト")</f>
        <v/>
      </c>
      <c r="AP16" s="10">
        <f>IFERROR(IF(COUNTIFS(加電履歴!$F:$F,A16,加電履歴!$E:$E,"JAリスト")=0,"",MAXIFS(加電履歴!$B:$B,加電履歴!$F:$F,A16,加電履歴!$E:$E,"JAリスト")),"")</f>
        <v/>
      </c>
      <c r="AQ16">
        <f>IFERROR(IF(COUNTIFS(加電履歴!$F:$F,A16,加電履歴!$E:$E,"JAリスト")=0,"",INDEX(加電履歴!$I:$I,MATCH(1,(加電履歴!$F:$F=A16)*(加電履歴!$E:$E="JAリスト")*(加電履歴!$B:$B=MAXIFS(加電履歴!$B:$B,加電履歴!$F:$F,A16,加電履歴!$E:$E,"JAリスト")),0))),"")</f>
        <v/>
      </c>
    </row>
    <row r="17" ht="12.5" customHeight="1">
      <c r="A17" s="1" t="inlineStr">
        <is>
          <t>JAたいせつ</t>
        </is>
      </c>
      <c r="C17" s="1" t="inlineStr">
        <is>
          <t>旭川市</t>
        </is>
      </c>
      <c r="D17" s="1" t="inlineStr">
        <is>
          <t>0166-57-2311</t>
        </is>
      </c>
      <c r="E17" s="1" t="inlineStr">
        <is>
          <t>米、大豆、野菜全般。広大な水田地帯。</t>
        </is>
      </c>
      <c r="F17" s="1" t="inlineStr">
        <is>
          <t>雇用型農業への転換期にあり、労務管理のノウハウ不足。</t>
        </is>
      </c>
      <c r="G17" s="1" t="inlineStr">
        <is>
          <t>人材紹介にとどまらず、入国後の労務・生活・語学サポートを一元管理できる安心感をアピール。</t>
        </is>
      </c>
      <c r="H17" s="1" t="n"/>
      <c r="I17" s="1" t="n"/>
      <c r="J17" s="1" t="n"/>
      <c r="K17" s="1" t="n"/>
      <c r="L17" s="1" t="n"/>
      <c r="M17" s="1" t="n"/>
      <c r="N17" s="1" t="n"/>
      <c r="O17" s="1" t="n"/>
      <c r="P17" s="1" t="n"/>
      <c r="Q17" s="1" t="n"/>
      <c r="R17" s="1" t="n"/>
      <c r="S17" s="1" t="n"/>
      <c r="T17" s="1" t="n"/>
      <c r="U17" s="1" t="n"/>
      <c r="V17" s="1" t="n"/>
      <c r="W17" s="1" t="n"/>
      <c r="X17" s="1" t="n"/>
      <c r="Y17" s="1" t="n"/>
      <c r="Z17" s="1" t="n"/>
      <c r="AA17" s="1" t="n"/>
      <c r="AB17" s="1" t="n"/>
      <c r="AC17" s="1" t="n"/>
      <c r="AD17" s="1" t="n"/>
      <c r="AE17" s="1" t="n"/>
      <c r="AF17" s="1" t="n"/>
      <c r="AG17" s="1" t="inlineStr">
        <is>
          <t>BREXA CrossBorder</t>
        </is>
      </c>
      <c r="AH17" s="1" t="inlineStr">
        <is>
          <t>武田 悦郎</t>
        </is>
      </c>
      <c r="AI17" s="1" t="n"/>
      <c r="AJ17" s="1" t="n"/>
      <c r="AK17" s="1" t="n"/>
      <c r="AL17" s="1" t="n"/>
      <c r="AM17" s="1" t="n"/>
      <c r="AN17" s="1" t="n"/>
      <c r="AO17">
        <f>COUNTIFS(加電履歴!$F:$F,A17,加電履歴!$E:$E,"JAリスト")</f>
        <v/>
      </c>
      <c r="AP17" s="10">
        <f>IFERROR(IF(COUNTIFS(加電履歴!$F:$F,A17,加電履歴!$E:$E,"JAリスト")=0,"",MAXIFS(加電履歴!$B:$B,加電履歴!$F:$F,A17,加電履歴!$E:$E,"JAリスト")),"")</f>
        <v/>
      </c>
      <c r="AQ17">
        <f>IFERROR(IF(COUNTIFS(加電履歴!$F:$F,A17,加電履歴!$E:$E,"JAリスト")=0,"",INDEX(加電履歴!$I:$I,MATCH(1,(加電履歴!$F:$F=A17)*(加電履歴!$E:$E="JAリスト")*(加電履歴!$B:$B=MAXIFS(加電履歴!$B:$B,加電履歴!$F:$F,A17,加電履歴!$E:$E,"JAリスト")),0))),"")</f>
        <v/>
      </c>
    </row>
    <row r="18" ht="12.5" customHeight="1">
      <c r="A18" s="1" t="inlineStr">
        <is>
          <t>JA東神楽</t>
        </is>
      </c>
      <c r="C18" s="1" t="inlineStr">
        <is>
          <t>東神楽町</t>
        </is>
      </c>
      <c r="D18" s="1" t="inlineStr">
        <is>
          <t>0166-83-2322</t>
        </is>
      </c>
      <c r="E18" s="1" t="inlineStr">
        <is>
          <t>米、アスパラガス、ほうれん草。</t>
        </is>
      </c>
      <c r="F18" s="1" t="inlineStr">
        <is>
          <t>都市化が進む一方、農地維持のための労働力が不足。</t>
        </is>
      </c>
      <c r="G18" s="1" t="inlineStr">
        <is>
          <t>完全成果報酬で導入リスクを抑えつつ、都市部へのアクセスの良さを活かした定着率をアピール。</t>
        </is>
      </c>
      <c r="H18" s="1" t="n"/>
      <c r="I18" s="1" t="n"/>
      <c r="J18" s="1" t="n"/>
      <c r="K18" s="1" t="n"/>
      <c r="L18" s="1" t="n"/>
      <c r="M18" s="1" t="n"/>
      <c r="N18" s="1" t="n"/>
      <c r="O18" s="1" t="n"/>
      <c r="P18" s="1" t="n"/>
      <c r="Q18" s="1" t="n"/>
      <c r="R18" s="1" t="n"/>
      <c r="S18" s="1" t="n"/>
      <c r="T18" s="1" t="n"/>
      <c r="U18" s="1" t="n"/>
      <c r="V18" s="1" t="n"/>
      <c r="W18" s="1" t="n"/>
      <c r="X18" s="1" t="n"/>
      <c r="Y18" s="1" t="n"/>
      <c r="Z18" s="1" t="n"/>
      <c r="AA18" s="1" t="n"/>
      <c r="AB18" s="1" t="n"/>
      <c r="AC18" s="1" t="n"/>
      <c r="AD18" s="1" t="n"/>
      <c r="AE18" s="1" t="n"/>
      <c r="AF18" s="1" t="n"/>
      <c r="AG18" s="1" t="inlineStr">
        <is>
          <t>BREXA CrossBorder</t>
        </is>
      </c>
      <c r="AH18" s="1" t="inlineStr">
        <is>
          <t>武田 悦郎</t>
        </is>
      </c>
      <c r="AI18" s="1" t="n"/>
      <c r="AJ18" s="1" t="n"/>
      <c r="AK18" s="1" t="n"/>
      <c r="AL18" s="1" t="n"/>
      <c r="AM18" s="1" t="n"/>
      <c r="AN18" s="1" t="n"/>
      <c r="AO18">
        <f>COUNTIFS(加電履歴!$F:$F,A18,加電履歴!$E:$E,"JAリスト")</f>
        <v/>
      </c>
      <c r="AP18" s="10">
        <f>IFERROR(IF(COUNTIFS(加電履歴!$F:$F,A18,加電履歴!$E:$E,"JAリスト")=0,"",MAXIFS(加電履歴!$B:$B,加電履歴!$F:$F,A18,加電履歴!$E:$E,"JAリスト")),"")</f>
        <v/>
      </c>
      <c r="AQ18">
        <f>IFERROR(IF(COUNTIFS(加電履歴!$F:$F,A18,加電履歴!$E:$E,"JAリスト")=0,"",INDEX(加電履歴!$I:$I,MATCH(1,(加電履歴!$F:$F=A18)*(加電履歴!$E:$E="JAリスト")*(加電履歴!$B:$B=MAXIFS(加電履歴!$B:$B,加電履歴!$F:$F,A18,加電履歴!$E:$E,"JAリスト")),0))),"")</f>
        <v/>
      </c>
    </row>
    <row r="19" ht="12.5" customHeight="1">
      <c r="A19" s="1" t="inlineStr">
        <is>
          <t>JAひがしかわ</t>
        </is>
      </c>
      <c r="C19" s="1" t="inlineStr">
        <is>
          <t>東川町</t>
        </is>
      </c>
      <c r="D19" s="1" t="inlineStr">
        <is>
          <t>0166-82-5010</t>
        </is>
      </c>
      <c r="E19" s="1" t="inlineStr">
        <is>
          <t>東川米、大雪山の伏流水を活かした野菜。</t>
        </is>
      </c>
      <c r="F19" s="1" t="inlineStr">
        <is>
          <t>国際交流が盛んであり、外国人材に対する心理的ハードルが低い可能性。</t>
        </is>
      </c>
      <c r="G19" s="1" t="inlineStr">
        <is>
          <t>地域の国際化方針に寄り添い、異文化理解講座や日本語教育をセットにした地域共生型人材提案。</t>
        </is>
      </c>
      <c r="H19" s="1" t="n"/>
      <c r="I19" s="1" t="n"/>
      <c r="J19" s="1" t="n"/>
      <c r="K19" s="1" t="n"/>
      <c r="L19" s="1" t="n"/>
      <c r="M19" s="1" t="n"/>
      <c r="N19" s="1" t="n"/>
      <c r="O19" s="1" t="n"/>
      <c r="P19" s="1" t="n"/>
      <c r="Q19" s="1" t="n"/>
      <c r="R19" s="1" t="n"/>
      <c r="S19" s="1" t="n"/>
      <c r="T19" s="1" t="n"/>
      <c r="U19" s="1" t="n"/>
      <c r="V19" s="1" t="n"/>
      <c r="W19" s="1" t="n"/>
      <c r="X19" s="1" t="n"/>
      <c r="Y19" s="1" t="n"/>
      <c r="Z19" s="1" t="n"/>
      <c r="AA19" s="1" t="n"/>
      <c r="AB19" s="1" t="n"/>
      <c r="AC19" s="1" t="n"/>
      <c r="AD19" s="1" t="n"/>
      <c r="AE19" s="1" t="n"/>
      <c r="AF19" s="1" t="n"/>
      <c r="AG19" s="1" t="inlineStr">
        <is>
          <t>BREXA CrossBorder</t>
        </is>
      </c>
      <c r="AH19" s="1" t="inlineStr">
        <is>
          <t>武田 悦郎</t>
        </is>
      </c>
      <c r="AI19" s="1" t="n"/>
      <c r="AJ19" s="1" t="n"/>
      <c r="AK19" s="1" t="n"/>
      <c r="AL19" s="1" t="n"/>
      <c r="AM19" s="1" t="n"/>
      <c r="AN19" s="1" t="n"/>
      <c r="AO19">
        <f>COUNTIFS(加電履歴!$F:$F,A19,加電履歴!$E:$E,"JAリスト")</f>
        <v/>
      </c>
      <c r="AP19" s="10">
        <f>IFERROR(IF(COUNTIFS(加電履歴!$F:$F,A19,加電履歴!$E:$E,"JAリスト")=0,"",MAXIFS(加電履歴!$B:$B,加電履歴!$F:$F,A19,加電履歴!$E:$E,"JAリスト")),"")</f>
        <v/>
      </c>
      <c r="AQ19">
        <f>IFERROR(IF(COUNTIFS(加電履歴!$F:$F,A19,加電履歴!$E:$E,"JAリスト")=0,"",INDEX(加電履歴!$I:$I,MATCH(1,(加電履歴!$F:$F=A19)*(加電履歴!$E:$E="JAリスト")*(加電履歴!$B:$B=MAXIFS(加電履歴!$B:$B,加電履歴!$F:$F,A19,加電履歴!$E:$E,"JAリスト")),0))),"")</f>
        <v/>
      </c>
    </row>
    <row r="20" ht="12.5" customHeight="1">
      <c r="A20" s="1" t="inlineStr">
        <is>
          <t>JA当麻</t>
        </is>
      </c>
      <c r="C20" s="1" t="inlineStr">
        <is>
          <t>当麻町</t>
        </is>
      </c>
      <c r="D20" s="1" t="inlineStr">
        <is>
          <t>0166-84-2124</t>
        </is>
      </c>
      <c r="E20" s="1" t="inlineStr">
        <is>
          <t>でんすけすいか、米、きゅうり。</t>
        </is>
      </c>
      <c r="F20" s="1" t="inlineStr">
        <is>
          <t>ブランドすいかの栽培管理や出荷作業における、丁寧で確実な作業が求められる。</t>
        </is>
      </c>
      <c r="G20" s="1" t="inlineStr">
        <is>
          <t>コミュニケーションエラーを防ぐための独自の語学研修プログラムを強調し、高品質な労働力を提供。</t>
        </is>
      </c>
      <c r="H20" s="1" t="n"/>
      <c r="I20" s="1" t="n"/>
      <c r="J20" s="1" t="n"/>
      <c r="K20" s="1" t="n"/>
      <c r="L20" s="1" t="n"/>
      <c r="M20" s="1" t="n"/>
      <c r="N20" s="1" t="n"/>
      <c r="O20" s="1" t="n"/>
      <c r="P20" s="1" t="n"/>
      <c r="Q20" s="1" t="n"/>
      <c r="R20" s="1" t="n"/>
      <c r="S20" s="1" t="n"/>
      <c r="T20" s="1" t="n"/>
      <c r="U20" s="1" t="n"/>
      <c r="V20" s="1" t="n"/>
      <c r="W20" s="1" t="n"/>
      <c r="X20" s="1" t="n"/>
      <c r="Y20" s="1" t="n"/>
      <c r="Z20" s="1" t="n"/>
      <c r="AA20" s="1" t="n"/>
      <c r="AB20" s="1" t="n"/>
      <c r="AC20" s="1" t="n"/>
      <c r="AD20" s="1" t="n"/>
      <c r="AE20" s="1" t="n"/>
      <c r="AF20" s="1" t="n"/>
      <c r="AG20" s="1" t="inlineStr">
        <is>
          <t>BREXA CrossBorder</t>
        </is>
      </c>
      <c r="AH20" s="1" t="inlineStr">
        <is>
          <t>武田 悦郎</t>
        </is>
      </c>
      <c r="AI20" s="1" t="n"/>
      <c r="AJ20" s="1" t="n"/>
      <c r="AK20" s="1" t="n"/>
      <c r="AL20" s="1" t="n"/>
      <c r="AM20" s="1" t="n"/>
      <c r="AN20" s="1" t="n"/>
      <c r="AO20">
        <f>COUNTIFS(加電履歴!$F:$F,A20,加電履歴!$E:$E,"JAリスト")</f>
        <v/>
      </c>
      <c r="AP20" s="10">
        <f>IFERROR(IF(COUNTIFS(加電履歴!$F:$F,A20,加電履歴!$E:$E,"JAリスト")=0,"",MAXIFS(加電履歴!$B:$B,加電履歴!$F:$F,A20,加電履歴!$E:$E,"JAリスト")),"")</f>
        <v/>
      </c>
      <c r="AQ20">
        <f>IFERROR(IF(COUNTIFS(加電履歴!$F:$F,A20,加電履歴!$E:$E,"JAリスト")=0,"",INDEX(加電履歴!$I:$I,MATCH(1,(加電履歴!$F:$F=A20)*(加電履歴!$E:$E="JAリスト")*(加電履歴!$B:$B=MAXIFS(加電履歴!$B:$B,加電履歴!$F:$F,A20,加電履歴!$E:$E,"JAリスト")),0))),"")</f>
        <v/>
      </c>
    </row>
    <row r="21" ht="12.5" customHeight="1">
      <c r="A21" s="1" t="inlineStr">
        <is>
          <t>JA上川中央</t>
        </is>
      </c>
      <c r="C21" s="1" t="inlineStr">
        <is>
          <t>愛別町</t>
        </is>
      </c>
      <c r="D21" s="1" t="inlineStr">
        <is>
          <t>01658-6-5312</t>
        </is>
      </c>
      <c r="E21" s="1" t="inlineStr">
        <is>
          <t>きのこ（えのき、まいたけ等）、米。</t>
        </is>
      </c>
      <c r="F21" s="1" t="inlineStr">
        <is>
          <t>きのこ栽培は屋内での通年作業であり、安定した雇用環境があるため定着しやすい。</t>
        </is>
      </c>
      <c r="G21" s="1" t="inlineStr">
        <is>
          <t>通年雇用ができる強みを活かし、特定技能の長期受け入れと補助金連動の無リスク導入を提案。</t>
        </is>
      </c>
      <c r="H21" s="1" t="n"/>
      <c r="I21" s="1" t="n"/>
      <c r="J21" s="1" t="n"/>
      <c r="K21" s="1" t="n"/>
      <c r="L21" s="1" t="n"/>
      <c r="M21" s="1" t="n"/>
      <c r="N21" s="1" t="n"/>
      <c r="O21" s="1" t="n"/>
      <c r="P21" s="1" t="n"/>
      <c r="Q21" s="1" t="n"/>
      <c r="R21" s="1" t="n"/>
      <c r="S21" s="1" t="n"/>
      <c r="T21" s="1" t="n"/>
      <c r="U21" s="1" t="n"/>
      <c r="V21" s="1" t="n"/>
      <c r="W21" s="1" t="n"/>
      <c r="X21" s="1" t="n"/>
      <c r="Y21" s="1" t="n"/>
      <c r="Z21" s="1" t="n"/>
      <c r="AA21" s="1" t="n"/>
      <c r="AB21" s="1" t="n"/>
      <c r="AC21" s="1" t="n"/>
      <c r="AD21" s="1" t="n"/>
      <c r="AE21" s="1" t="n"/>
      <c r="AF21" s="1" t="n"/>
      <c r="AG21" s="1" t="inlineStr">
        <is>
          <t>BREXA CrossBorder</t>
        </is>
      </c>
      <c r="AH21" s="1" t="inlineStr">
        <is>
          <t>武田 悦郎</t>
        </is>
      </c>
      <c r="AI21" s="1" t="n"/>
      <c r="AJ21" s="1" t="n"/>
      <c r="AK21" s="1" t="n"/>
      <c r="AL21" s="1" t="n"/>
      <c r="AM21" s="1" t="n"/>
      <c r="AN21" s="1" t="n"/>
      <c r="AO21">
        <f>COUNTIFS(加電履歴!$F:$F,A21,加電履歴!$E:$E,"JAリスト")</f>
        <v/>
      </c>
      <c r="AP21" s="10">
        <f>IFERROR(IF(COUNTIFS(加電履歴!$F:$F,A21,加電履歴!$E:$E,"JAリスト")=0,"",MAXIFS(加電履歴!$B:$B,加電履歴!$F:$F,A21,加電履歴!$E:$E,"JAリスト")),"")</f>
        <v/>
      </c>
      <c r="AQ21">
        <f>IFERROR(IF(COUNTIFS(加電履歴!$F:$F,A21,加電履歴!$E:$E,"JAリスト")=0,"",INDEX(加電履歴!$I:$I,MATCH(1,(加電履歴!$F:$F=A21)*(加電履歴!$E:$E="JAリスト")*(加電履歴!$B:$B=MAXIFS(加電履歴!$B:$B,加電履歴!$F:$F,A21,加電履歴!$E:$E,"JAリスト")),0))),"")</f>
        <v/>
      </c>
    </row>
    <row r="22" ht="12.5" customHeight="1">
      <c r="A22" s="1" t="inlineStr">
        <is>
          <t>JAぴっぷ町</t>
        </is>
      </c>
      <c r="C22" s="1" t="inlineStr">
        <is>
          <t>比布町</t>
        </is>
      </c>
      <c r="D22" s="1" t="inlineStr">
        <is>
          <t>0166-85-2121</t>
        </is>
      </c>
      <c r="E22" s="1" t="inlineStr">
        <is>
          <t>いちご、米、千本ねぎ。</t>
        </is>
      </c>
      <c r="F22" s="1" t="inlineStr">
        <is>
          <t>いちご収穫など、腰をかがめる手作業が多く若手人材が急務。</t>
        </is>
      </c>
      <c r="G22" s="1" t="inlineStr">
        <is>
          <t>補助金採択を前提とした完全成果報酬を提示し、まずは小規模な農家からのテスト受け入れを打診。</t>
        </is>
      </c>
      <c r="H22" s="1" t="n"/>
      <c r="I22" s="1" t="n"/>
      <c r="J22" s="1" t="n"/>
      <c r="K22" s="1" t="n"/>
      <c r="L22" s="1" t="n"/>
      <c r="M22" s="1" t="n"/>
      <c r="N22" s="1" t="n"/>
      <c r="O22" s="1" t="n"/>
      <c r="P22" s="1" t="n"/>
      <c r="Q22" s="1" t="n"/>
      <c r="R22" s="1" t="n"/>
      <c r="S22" s="1" t="n"/>
      <c r="T22" s="1" t="n"/>
      <c r="U22" s="1" t="n"/>
      <c r="V22" s="1" t="n"/>
      <c r="W22" s="1" t="n"/>
      <c r="X22" s="1" t="n"/>
      <c r="Y22" s="1" t="n"/>
      <c r="Z22" s="1" t="n"/>
      <c r="AA22" s="1" t="n"/>
      <c r="AB22" s="1" t="n"/>
      <c r="AC22" s="1" t="n"/>
      <c r="AD22" s="1" t="n"/>
      <c r="AE22" s="1" t="n"/>
      <c r="AF22" s="1" t="n"/>
      <c r="AG22" s="1" t="inlineStr">
        <is>
          <t>BREXA CrossBorder</t>
        </is>
      </c>
      <c r="AH22" s="1" t="inlineStr">
        <is>
          <t>武田 悦郎</t>
        </is>
      </c>
      <c r="AI22" s="1" t="n"/>
      <c r="AJ22" s="1" t="n"/>
      <c r="AK22" s="1" t="n"/>
      <c r="AL22" s="1" t="n"/>
      <c r="AM22" s="1" t="n"/>
      <c r="AN22" s="1" t="n"/>
      <c r="AO22">
        <f>COUNTIFS(加電履歴!$F:$F,A22,加電履歴!$E:$E,"JAリスト")</f>
        <v/>
      </c>
      <c r="AP22" s="10">
        <f>IFERROR(IF(COUNTIFS(加電履歴!$F:$F,A22,加電履歴!$E:$E,"JAリスト")=0,"",MAXIFS(加電履歴!$B:$B,加電履歴!$F:$F,A22,加電履歴!$E:$E,"JAリスト")),"")</f>
        <v/>
      </c>
      <c r="AQ22">
        <f>IFERROR(IF(COUNTIFS(加電履歴!$F:$F,A22,加電履歴!$E:$E,"JAリスト")=0,"",INDEX(加電履歴!$I:$I,MATCH(1,(加電履歴!$F:$F=A22)*(加電履歴!$E:$E="JAリスト")*(加電履歴!$B:$B=MAXIFS(加電履歴!$B:$B,加電履歴!$F:$F,A22,加電履歴!$E:$E,"JAリスト")),0))),"")</f>
        <v/>
      </c>
    </row>
    <row r="23" ht="12.5" customHeight="1">
      <c r="A23" s="1" t="inlineStr">
        <is>
          <t>JA北ひびき</t>
        </is>
      </c>
      <c r="C23" s="1" t="inlineStr">
        <is>
          <t>士別市</t>
        </is>
      </c>
      <c r="D23" s="1" t="inlineStr">
        <is>
          <t>0165-23-2179</t>
        </is>
      </c>
      <c r="E23" s="1" t="inlineStr">
        <is>
          <t>アスパラガス、メロン、ビート、小麦。</t>
        </is>
      </c>
      <c r="F23" s="1" t="inlineStr">
        <is>
          <t>作付面積の拡大に伴い、機械操作補助や収穫・運搬の担い手が不足。</t>
        </is>
      </c>
      <c r="G23" s="1" t="inlineStr">
        <is>
          <t>語学教育と人材紹介のセット提案により、機械操作の安全指導がスムーズに行える点をアピール。</t>
        </is>
      </c>
      <c r="H23" s="1" t="n"/>
      <c r="I23" s="1" t="n"/>
      <c r="J23" s="1" t="n"/>
      <c r="K23" s="1" t="n"/>
      <c r="L23" s="1" t="n"/>
      <c r="M23" s="1" t="n"/>
      <c r="N23" s="1" t="n"/>
      <c r="O23" s="1" t="n"/>
      <c r="P23" s="1" t="n"/>
      <c r="Q23" s="1" t="n"/>
      <c r="R23" s="1" t="n"/>
      <c r="S23" s="1" t="n"/>
      <c r="T23" s="1" t="n"/>
      <c r="U23" s="1" t="n"/>
      <c r="V23" s="1" t="n"/>
      <c r="W23" s="1" t="n"/>
      <c r="X23" s="1" t="n"/>
      <c r="Y23" s="1" t="n"/>
      <c r="Z23" s="1" t="n"/>
      <c r="AA23" s="1" t="n"/>
      <c r="AB23" s="1" t="n"/>
      <c r="AC23" s="1" t="n"/>
      <c r="AD23" s="1" t="n"/>
      <c r="AE23" s="1" t="n"/>
      <c r="AF23" s="1" t="n"/>
      <c r="AG23" s="1" t="inlineStr">
        <is>
          <t>BREXA CrossBorder</t>
        </is>
      </c>
      <c r="AH23" s="1" t="inlineStr">
        <is>
          <t>武田 悦郎</t>
        </is>
      </c>
      <c r="AI23" s="1" t="n"/>
      <c r="AJ23" s="1" t="n"/>
      <c r="AK23" s="1" t="n"/>
      <c r="AL23" s="1" t="n"/>
      <c r="AM23" s="1" t="n"/>
      <c r="AN23" s="1" t="n"/>
      <c r="AO23">
        <f>COUNTIFS(加電履歴!$F:$F,A23,加電履歴!$E:$E,"JAリスト")</f>
        <v/>
      </c>
      <c r="AP23" s="10">
        <f>IFERROR(IF(COUNTIFS(加電履歴!$F:$F,A23,加電履歴!$E:$E,"JAリスト")=0,"",MAXIFS(加電履歴!$B:$B,加電履歴!$F:$F,A23,加電履歴!$E:$E,"JAリスト")),"")</f>
        <v/>
      </c>
      <c r="AQ23">
        <f>IFERROR(IF(COUNTIFS(加電履歴!$F:$F,A23,加電履歴!$E:$E,"JAリスト")=0,"",INDEX(加電履歴!$I:$I,MATCH(1,(加電履歴!$F:$F=A23)*(加電履歴!$E:$E="JAリスト")*(加電履歴!$B:$B=MAXIFS(加電履歴!$B:$B,加電履歴!$F:$F,A23,加電履歴!$E:$E,"JAリスト")),0))),"")</f>
        <v/>
      </c>
    </row>
    <row r="24" ht="12.5" customHeight="1">
      <c r="A24" s="1" t="inlineStr">
        <is>
          <t>JA名寄</t>
        </is>
      </c>
      <c r="C24" s="1" t="inlineStr">
        <is>
          <t>名寄市</t>
        </is>
      </c>
      <c r="D24" s="1" t="inlineStr">
        <is>
          <t>01655-3-2030</t>
        </is>
      </c>
      <c r="E24" s="1" t="inlineStr">
        <is>
          <t>もち米（作付面積日本一）、アスパラ。</t>
        </is>
      </c>
      <c r="F24" s="1" t="inlineStr">
        <is>
          <t>オペレーター補助や、アスパラの早朝収穫の担い手不足。</t>
        </is>
      </c>
      <c r="G24" s="1" t="inlineStr">
        <is>
          <t>朝早くからの作業にも対応できる人材紹介と、手厚いメンタル・生活サポート体制を強調。</t>
        </is>
      </c>
      <c r="H24" s="1" t="n"/>
      <c r="I24" s="1" t="n"/>
      <c r="J24" s="1" t="n"/>
      <c r="K24" s="1" t="n"/>
      <c r="L24" s="1" t="n"/>
      <c r="M24" s="1" t="n"/>
      <c r="N24" s="1" t="n"/>
      <c r="O24" s="1" t="n"/>
      <c r="P24" s="1" t="n"/>
      <c r="Q24" s="1" t="n"/>
      <c r="R24" s="1" t="n"/>
      <c r="S24" s="1" t="n"/>
      <c r="T24" s="1" t="n"/>
      <c r="U24" s="1" t="n"/>
      <c r="V24" s="1" t="n"/>
      <c r="W24" s="1" t="n"/>
      <c r="X24" s="1" t="n"/>
      <c r="Y24" s="1" t="n"/>
      <c r="Z24" s="1" t="n"/>
      <c r="AA24" s="1" t="n"/>
      <c r="AB24" s="1" t="n"/>
      <c r="AC24" s="1" t="n"/>
      <c r="AD24" s="1" t="n"/>
      <c r="AE24" s="1" t="n"/>
      <c r="AF24" s="1" t="n"/>
      <c r="AG24" s="1" t="inlineStr">
        <is>
          <t>BREXA CrossBorder</t>
        </is>
      </c>
      <c r="AH24" s="1" t="inlineStr">
        <is>
          <t>武田 悦郎</t>
        </is>
      </c>
      <c r="AI24" s="1" t="n"/>
      <c r="AJ24" s="1" t="n"/>
      <c r="AK24" s="1" t="n"/>
      <c r="AL24" s="1" t="n"/>
      <c r="AM24" s="1" t="n"/>
      <c r="AN24" s="1" t="n"/>
      <c r="AO24">
        <f>COUNTIFS(加電履歴!$F:$F,A24,加電履歴!$E:$E,"JAリスト")</f>
        <v/>
      </c>
      <c r="AP24" s="10">
        <f>IFERROR(IF(COUNTIFS(加電履歴!$F:$F,A24,加電履歴!$E:$E,"JAリスト")=0,"",MAXIFS(加電履歴!$B:$B,加電履歴!$F:$F,A24,加電履歴!$E:$E,"JAリスト")),"")</f>
        <v/>
      </c>
      <c r="AQ24">
        <f>IFERROR(IF(COUNTIFS(加電履歴!$F:$F,A24,加電履歴!$E:$E,"JAリスト")=0,"",INDEX(加電履歴!$I:$I,MATCH(1,(加電履歴!$F:$F=A24)*(加電履歴!$E:$E="JAリスト")*(加電履歴!$B:$B=MAXIFS(加電履歴!$B:$B,加電履歴!$F:$F,A24,加電履歴!$E:$E,"JAリスト")),0))),"")</f>
        <v/>
      </c>
    </row>
    <row r="25" ht="12.5" customHeight="1">
      <c r="A25" s="1" t="inlineStr">
        <is>
          <t>JA南るもい</t>
        </is>
      </c>
      <c r="C25" s="1" t="inlineStr">
        <is>
          <t>留萌市</t>
        </is>
      </c>
      <c r="D25" s="1" t="inlineStr">
        <is>
          <t>0164-42-2277</t>
        </is>
      </c>
      <c r="E25" s="1" t="inlineStr">
        <is>
          <t>米、メロン、カボチャ。</t>
        </is>
      </c>
      <c r="F25" s="1" t="inlineStr">
        <is>
          <t>気候を活かした農業だが、過疎化により働き手の絶対数が不足。</t>
        </is>
      </c>
      <c r="G25" s="1" t="inlineStr">
        <is>
          <t>補助金活用により採用コストを圧縮し、過疎地域でも定着を図れるフォロー体制（語学支援等）を提案。</t>
        </is>
      </c>
      <c r="H25" s="1" t="n"/>
      <c r="I25" s="1" t="n"/>
      <c r="J25" s="1" t="n"/>
      <c r="K25" s="1" t="n"/>
      <c r="L25" s="1" t="n"/>
      <c r="M25" s="1" t="n"/>
      <c r="N25" s="1" t="n"/>
      <c r="O25" s="1" t="n"/>
      <c r="P25" s="1" t="n"/>
      <c r="Q25" s="1" t="n"/>
      <c r="R25" s="1" t="n"/>
      <c r="S25" s="1" t="n"/>
      <c r="T25" s="1" t="n"/>
      <c r="U25" s="1" t="n"/>
      <c r="V25" s="1" t="n"/>
      <c r="W25" s="1" t="n"/>
      <c r="X25" s="1" t="n"/>
      <c r="Y25" s="1" t="n"/>
      <c r="Z25" s="1" t="n"/>
      <c r="AA25" s="1" t="n"/>
      <c r="AB25" s="1" t="n"/>
      <c r="AC25" s="1" t="n"/>
      <c r="AD25" s="1" t="n"/>
      <c r="AE25" s="1" t="n"/>
      <c r="AF25" s="1" t="n"/>
      <c r="AG25" s="1" t="inlineStr">
        <is>
          <t>BREXA CrossBorder</t>
        </is>
      </c>
      <c r="AH25" s="1" t="inlineStr">
        <is>
          <t>武田 悦郎</t>
        </is>
      </c>
      <c r="AI25" s="1" t="n"/>
      <c r="AJ25" s="1" t="n"/>
      <c r="AK25" s="1" t="n"/>
      <c r="AL25" s="1" t="n"/>
      <c r="AM25" s="1" t="n"/>
      <c r="AN25" s="1" t="n"/>
      <c r="AO25">
        <f>COUNTIFS(加電履歴!$F:$F,A25,加電履歴!$E:$E,"JAリスト")</f>
        <v/>
      </c>
      <c r="AP25" s="10">
        <f>IFERROR(IF(COUNTIFS(加電履歴!$F:$F,A25,加電履歴!$E:$E,"JAリスト")=0,"",MAXIFS(加電履歴!$B:$B,加電履歴!$F:$F,A25,加電履歴!$E:$E,"JAリスト")),"")</f>
        <v/>
      </c>
      <c r="AQ25">
        <f>IFERROR(IF(COUNTIFS(加電履歴!$F:$F,A25,加電履歴!$E:$E,"JAリスト")=0,"",INDEX(加電履歴!$I:$I,MATCH(1,(加電履歴!$F:$F=A25)*(加電履歴!$E:$E="JAリスト")*(加電履歴!$B:$B=MAXIFS(加電履歴!$B:$B,加電履歴!$F:$F,A25,加電履歴!$E:$E,"JAリスト")),0))),"")</f>
        <v/>
      </c>
    </row>
    <row r="26" ht="12.5" customHeight="1">
      <c r="A26" s="1" t="inlineStr">
        <is>
          <t>JAオロロン</t>
        </is>
      </c>
      <c r="C26" s="1" t="inlineStr">
        <is>
          <t>羽幌町</t>
        </is>
      </c>
      <c r="D26" s="1" t="inlineStr">
        <is>
          <t>0164-62-1388</t>
        </is>
      </c>
      <c r="E26" s="1" t="inlineStr">
        <is>
          <t>米、アスパラガス、オロロンメロン。</t>
        </is>
      </c>
      <c r="F26" s="1" t="inlineStr">
        <is>
          <t>沿岸部であり、水産業との複合的な労働力確保のニーズも存在。</t>
        </is>
      </c>
      <c r="G26" s="1" t="inlineStr">
        <is>
          <t>農業だけでなく、地域のニーズに合わせて柔軟に特定技能（飲食料品製造等）の提案枠を広げる。</t>
        </is>
      </c>
      <c r="H26" s="1" t="n"/>
      <c r="I26" s="1" t="n"/>
      <c r="J26" s="1" t="n"/>
      <c r="K26" s="1" t="n"/>
      <c r="L26" s="1" t="n"/>
      <c r="M26" s="1" t="n"/>
      <c r="N26" s="1" t="n"/>
      <c r="O26" s="1" t="n"/>
      <c r="P26" s="1" t="n"/>
      <c r="Q26" s="1" t="n"/>
      <c r="R26" s="1" t="n"/>
      <c r="S26" s="1" t="n"/>
      <c r="T26" s="1" t="n"/>
      <c r="U26" s="1" t="n"/>
      <c r="V26" s="1" t="n"/>
      <c r="W26" s="1" t="n"/>
      <c r="X26" s="1" t="n"/>
      <c r="Y26" s="1" t="n"/>
      <c r="Z26" s="1" t="n"/>
      <c r="AA26" s="1" t="n"/>
      <c r="AB26" s="1" t="n"/>
      <c r="AC26" s="1" t="n"/>
      <c r="AD26" s="1" t="n"/>
      <c r="AE26" s="1" t="n"/>
      <c r="AF26" s="1" t="n"/>
      <c r="AG26" s="1" t="inlineStr">
        <is>
          <t>BREXA CrossBorder</t>
        </is>
      </c>
      <c r="AH26" s="1" t="inlineStr">
        <is>
          <t>武田 悦郎</t>
        </is>
      </c>
      <c r="AI26" s="1" t="n"/>
      <c r="AJ26" s="1" t="n"/>
      <c r="AK26" s="1" t="n"/>
      <c r="AL26" s="1" t="n"/>
      <c r="AM26" s="1" t="n"/>
      <c r="AN26" s="1" t="n"/>
      <c r="AO26">
        <f>COUNTIFS(加電履歴!$F:$F,A26,加電履歴!$E:$E,"JAリスト")</f>
        <v/>
      </c>
      <c r="AP26" s="10">
        <f>IFERROR(IF(COUNTIFS(加電履歴!$F:$F,A26,加電履歴!$E:$E,"JAリスト")=0,"",MAXIFS(加電履歴!$B:$B,加電履歴!$F:$F,A26,加電履歴!$E:$E,"JAリスト")),"")</f>
        <v/>
      </c>
      <c r="AQ26">
        <f>IFERROR(IF(COUNTIFS(加電履歴!$F:$F,A26,加電履歴!$E:$E,"JAリスト")=0,"",INDEX(加電履歴!$I:$I,MATCH(1,(加電履歴!$F:$F=A26)*(加電履歴!$E:$E="JAリスト")*(加電履歴!$B:$B=MAXIFS(加電履歴!$B:$B,加電履歴!$F:$F,A26,加電履歴!$E:$E,"JAリスト")),0))),"")</f>
        <v/>
      </c>
    </row>
    <row r="27" ht="12.5" customHeight="1">
      <c r="A27" s="1" t="inlineStr">
        <is>
          <t>JA北宗谷</t>
        </is>
      </c>
      <c r="C27" s="1" t="inlineStr">
        <is>
          <t>豊富町</t>
        </is>
      </c>
      <c r="D27" s="1" t="inlineStr">
        <is>
          <t>0162-82-1025</t>
        </is>
      </c>
      <c r="E27" s="1" t="inlineStr">
        <is>
          <t>広大な牧草地での大規模酪農。</t>
        </is>
      </c>
      <c r="F27" s="1" t="inlineStr">
        <is>
          <t>年中無休の搾乳作業や清掃など、特有の過酷な労働環境による人手不足。</t>
        </is>
      </c>
      <c r="G27" s="1" t="inlineStr">
        <is>
          <t>酪農特化の特定技能紹介と、初期投資ゼロ（完全成果報酬）による経営圧迫の回避を提案。</t>
        </is>
      </c>
      <c r="H27" s="1" t="n"/>
      <c r="I27" s="1" t="n"/>
      <c r="J27" s="1" t="n"/>
      <c r="K27" s="1" t="n"/>
      <c r="L27" s="1" t="n"/>
      <c r="M27" s="1" t="n"/>
      <c r="N27" s="1" t="n"/>
      <c r="O27" s="1" t="n"/>
      <c r="P27" s="1" t="n"/>
      <c r="Q27" s="1" t="n"/>
      <c r="R27" s="1" t="n"/>
      <c r="S27" s="1" t="n"/>
      <c r="T27" s="1" t="n"/>
      <c r="U27" s="1" t="n"/>
      <c r="V27" s="1" t="n"/>
      <c r="W27" s="1" t="n"/>
      <c r="X27" s="1" t="n"/>
      <c r="Y27" s="1" t="n"/>
      <c r="Z27" s="1" t="n"/>
      <c r="AA27" s="1" t="n"/>
      <c r="AB27" s="1" t="n"/>
      <c r="AC27" s="1" t="n"/>
      <c r="AD27" s="1" t="n"/>
      <c r="AE27" s="1" t="n"/>
      <c r="AF27" s="1" t="n"/>
      <c r="AG27" s="1" t="inlineStr">
        <is>
          <t>BREXA CrossBorder</t>
        </is>
      </c>
      <c r="AH27" s="1" t="inlineStr">
        <is>
          <t>武田 悦郎</t>
        </is>
      </c>
      <c r="AI27" s="1" t="n"/>
      <c r="AJ27" s="1" t="n"/>
      <c r="AK27" s="1" t="n"/>
      <c r="AL27" s="1" t="n"/>
      <c r="AM27" s="1" t="n"/>
      <c r="AN27" s="1" t="n"/>
      <c r="AO27">
        <f>COUNTIFS(加電履歴!$F:$F,A27,加電履歴!$E:$E,"JAリスト")</f>
        <v/>
      </c>
      <c r="AP27" s="10">
        <f>IFERROR(IF(COUNTIFS(加電履歴!$F:$F,A27,加電履歴!$E:$E,"JAリスト")=0,"",MAXIFS(加電履歴!$B:$B,加電履歴!$F:$F,A27,加電履歴!$E:$E,"JAリスト")),"")</f>
        <v/>
      </c>
      <c r="AQ27">
        <f>IFERROR(IF(COUNTIFS(加電履歴!$F:$F,A27,加電履歴!$E:$E,"JAリスト")=0,"",INDEX(加電履歴!$I:$I,MATCH(1,(加電履歴!$F:$F=A27)*(加電履歴!$E:$E="JAリスト")*(加電履歴!$B:$B=MAXIFS(加電履歴!$B:$B,加電履歴!$F:$F,A27,加電履歴!$E:$E,"JAリスト")),0))),"")</f>
        <v/>
      </c>
    </row>
    <row r="28" ht="12.5" customHeight="1">
      <c r="A28" s="1" t="inlineStr">
        <is>
          <t>JA宗谷南</t>
        </is>
      </c>
      <c r="C28" s="1" t="inlineStr">
        <is>
          <t>枝幸町</t>
        </is>
      </c>
      <c r="D28" s="1" t="inlineStr">
        <is>
          <t>0163-62-4100</t>
        </is>
      </c>
      <c r="E28" s="1" t="inlineStr">
        <is>
          <t>酪農、肉牛飼育。</t>
        </is>
      </c>
      <c r="F28" s="1" t="inlineStr">
        <is>
          <t>冬季の厳しい気象条件の中での作業となるため、人材のケアが最大の課題。</t>
        </is>
      </c>
      <c r="G28" s="1" t="inlineStr">
        <is>
          <t>入国前のオリエンテーション（雪国での生活指導）や、定期的な日本語でのメンタルケアをアピール。</t>
        </is>
      </c>
      <c r="H28" s="1" t="n"/>
      <c r="I28" s="1" t="n"/>
      <c r="J28" s="1" t="n"/>
      <c r="K28" s="1" t="n"/>
      <c r="L28" s="1" t="n"/>
      <c r="M28" s="1" t="n"/>
      <c r="N28" s="1" t="n"/>
      <c r="O28" s="1" t="n"/>
      <c r="P28" s="1" t="n"/>
      <c r="Q28" s="1" t="n"/>
      <c r="R28" s="1" t="n"/>
      <c r="S28" s="1" t="n"/>
      <c r="T28" s="1" t="n"/>
      <c r="U28" s="1" t="n"/>
      <c r="V28" s="1" t="n"/>
      <c r="W28" s="1" t="n"/>
      <c r="X28" s="1" t="n"/>
      <c r="Y28" s="1" t="n"/>
      <c r="Z28" s="1" t="n"/>
      <c r="AA28" s="1" t="n"/>
      <c r="AB28" s="1" t="n"/>
      <c r="AC28" s="1" t="n"/>
      <c r="AD28" s="1" t="n"/>
      <c r="AE28" s="1" t="n"/>
      <c r="AF28" s="1" t="n"/>
      <c r="AG28" s="1" t="inlineStr">
        <is>
          <t>BREXA CrossBorder</t>
        </is>
      </c>
      <c r="AH28" s="1" t="inlineStr">
        <is>
          <t>武田 悦郎</t>
        </is>
      </c>
      <c r="AI28" s="1" t="n"/>
      <c r="AJ28" s="1" t="n"/>
      <c r="AK28" s="1" t="n"/>
      <c r="AL28" s="1" t="n"/>
      <c r="AM28" s="1" t="n"/>
      <c r="AN28" s="1" t="n"/>
      <c r="AO28">
        <f>COUNTIFS(加電履歴!$F:$F,A28,加電履歴!$E:$E,"JAリスト")</f>
        <v/>
      </c>
      <c r="AP28" s="10">
        <f>IFERROR(IF(COUNTIFS(加電履歴!$F:$F,A28,加電履歴!$E:$E,"JAリスト")=0,"",MAXIFS(加電履歴!$B:$B,加電履歴!$F:$F,A28,加電履歴!$E:$E,"JAリスト")),"")</f>
        <v/>
      </c>
      <c r="AQ28">
        <f>IFERROR(IF(COUNTIFS(加電履歴!$F:$F,A28,加電履歴!$E:$E,"JAリスト")=0,"",INDEX(加電履歴!$I:$I,MATCH(1,(加電履歴!$F:$F=A28)*(加電履歴!$E:$E="JAリスト")*(加電履歴!$B:$B=MAXIFS(加電履歴!$B:$B,加電履歴!$F:$F,A28,加電履歴!$E:$E,"JAリスト")),0))),"")</f>
        <v/>
      </c>
    </row>
    <row r="29" ht="12.5" customHeight="1">
      <c r="A29" s="1" t="inlineStr">
        <is>
          <t>JAひがし宗谷</t>
        </is>
      </c>
      <c r="C29" s="1" t="inlineStr">
        <is>
          <t>浜頓別町</t>
        </is>
      </c>
      <c r="D29" s="1" t="inlineStr">
        <is>
          <t>01634-2-3366</t>
        </is>
      </c>
      <c r="E29" s="1" t="inlineStr">
        <is>
          <t>酪農中心。</t>
        </is>
      </c>
      <c r="F29" s="1" t="inlineStr">
        <is>
          <t>ヘルパー不足が深刻で、酪農家が休みを取れない状況が続いている。</t>
        </is>
      </c>
      <c r="G29" s="1" t="inlineStr">
        <is>
          <t>労働環境を改善するため、補助金を活用した外国人材の計画的な受け入れスキームを提案。</t>
        </is>
      </c>
      <c r="H29" s="1" t="n"/>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c r="AE29" s="1" t="n"/>
      <c r="AF29" s="1" t="n"/>
      <c r="AG29" s="1" t="inlineStr">
        <is>
          <t>BREXA CrossBorder</t>
        </is>
      </c>
      <c r="AH29" s="1" t="inlineStr">
        <is>
          <t>武田 悦郎</t>
        </is>
      </c>
      <c r="AI29" s="1" t="n"/>
      <c r="AJ29" s="1" t="n"/>
      <c r="AK29" s="1" t="n"/>
      <c r="AL29" s="1" t="n"/>
      <c r="AM29" s="1" t="n"/>
      <c r="AN29" s="1" t="n"/>
      <c r="AO29">
        <f>COUNTIFS(加電履歴!$F:$F,A29,加電履歴!$E:$E,"JAリスト")</f>
        <v/>
      </c>
      <c r="AP29" s="10">
        <f>IFERROR(IF(COUNTIFS(加電履歴!$F:$F,A29,加電履歴!$E:$E,"JAリスト")=0,"",MAXIFS(加電履歴!$B:$B,加電履歴!$F:$F,A29,加電履歴!$E:$E,"JAリスト")),"")</f>
        <v/>
      </c>
      <c r="AQ29">
        <f>IFERROR(IF(COUNTIFS(加電履歴!$F:$F,A29,加電履歴!$E:$E,"JAリスト")=0,"",INDEX(加電履歴!$I:$I,MATCH(1,(加電履歴!$F:$F=A29)*(加電履歴!$E:$E="JAリスト")*(加電履歴!$B:$B=MAXIFS(加電履歴!$B:$B,加電履歴!$F:$F,A29,加電履歴!$E:$E,"JAリスト")),0))),"")</f>
        <v/>
      </c>
    </row>
    <row r="30" ht="12.5" customHeight="1">
      <c r="A30" s="1" t="inlineStr">
        <is>
          <t>JAきたみらい</t>
        </is>
      </c>
      <c r="B30" s="12" t="inlineStr">
        <is>
          <t>https://www.jakitamirai.or.jp/</t>
        </is>
      </c>
      <c r="C30" s="13" t="inlineStr">
        <is>
          <t>北海道北見市中ノ島町1丁目1-8 (〒090-0813)</t>
        </is>
      </c>
      <c r="D30" s="13" t="inlineStr">
        <is>
          <t>0157-32-8777</t>
        </is>
      </c>
      <c r="E30" s="1" t="inlineStr">
        <is>
          <t>玉ねぎ（日本一）、じゃがいも、てんさい。</t>
        </is>
      </c>
      <c r="F30" s="1" t="inlineStr">
        <is>
          <t>玉ねぎ収穫・選別施設における膨大な労働力確保。ピーク時の不足が深刻。</t>
        </is>
      </c>
      <c r="G30" s="1" t="inlineStr">
        <is>
          <t>大規模選果場向けのまとまった人材紹介と、現場リーダー候補に対する日本語教育支援をセット提案。</t>
        </is>
      </c>
      <c r="H30" s="1" t="n"/>
      <c r="I30" s="1" t="n"/>
      <c r="J30" s="1" t="n"/>
      <c r="K30" s="1" t="n"/>
      <c r="L30" s="1" t="n"/>
      <c r="M30" s="1" t="n"/>
      <c r="N30" s="1" t="n"/>
      <c r="O30" s="1" t="n"/>
      <c r="P30" s="1" t="n"/>
      <c r="Q30" s="1" t="n"/>
      <c r="R30" s="1" t="n"/>
      <c r="S30" s="1" t="n"/>
      <c r="T30" s="1" t="n"/>
      <c r="U30" s="1" t="n"/>
      <c r="V30" s="1" t="n"/>
      <c r="W30" s="1" t="n"/>
      <c r="X30" s="1" t="n"/>
      <c r="Y30" s="1" t="n"/>
      <c r="Z30" s="1" t="n"/>
      <c r="AA30" s="1" t="n"/>
      <c r="AB30" s="1" t="n"/>
      <c r="AC30" s="1" t="n"/>
      <c r="AD30" s="1" t="n"/>
      <c r="AE30" s="1" t="n"/>
      <c r="AF30" s="1" t="n"/>
      <c r="AG30" s="1" t="inlineStr">
        <is>
          <t>BREXA CrossBorder</t>
        </is>
      </c>
      <c r="AH30" s="1" t="inlineStr">
        <is>
          <t>武田 悦郎</t>
        </is>
      </c>
      <c r="AI30" s="1" t="n"/>
      <c r="AJ30" s="1" t="n"/>
      <c r="AK30" s="1" t="n"/>
      <c r="AL30" s="1" t="n"/>
      <c r="AM30" s="1" t="n"/>
      <c r="AN30" s="1" t="n"/>
      <c r="AO30">
        <f>COUNTIFS(加電履歴!$F:$F,A30,加電履歴!$E:$E,"JAリスト")</f>
        <v/>
      </c>
      <c r="AP30" s="10">
        <f>IFERROR(IF(COUNTIFS(加電履歴!$F:$F,A30,加電履歴!$E:$E,"JAリスト")=0,"",MAXIFS(加電履歴!$B:$B,加電履歴!$F:$F,A30,加電履歴!$E:$E,"JAリスト")),"")</f>
        <v/>
      </c>
      <c r="AQ30">
        <f>IFERROR(IF(COUNTIFS(加電履歴!$F:$F,A30,加電履歴!$E:$E,"JAリスト")=0,"",INDEX(加電履歴!$I:$I,MATCH(1,(加電履歴!$F:$F=A30)*(加電履歴!$E:$E="JAリスト")*(加電履歴!$B:$B=MAXIFS(加電履歴!$B:$B,加電履歴!$F:$F,A30,加電履歴!$E:$E,"JAリスト")),0))),"")</f>
        <v/>
      </c>
    </row>
    <row r="31" ht="12.5" customHeight="1">
      <c r="A31" s="1" t="inlineStr">
        <is>
          <t>JAところ</t>
        </is>
      </c>
      <c r="B31" s="12" t="inlineStr">
        <is>
          <t>https://www.ja-tokoro.or.jp/</t>
        </is>
      </c>
      <c r="C31" s="13" t="inlineStr">
        <is>
          <t>北海道北見市常呂町字常呂608 (〒093-0206)</t>
        </is>
      </c>
      <c r="D31" s="13" t="inlineStr">
        <is>
          <t>0152-54-2121</t>
        </is>
      </c>
      <c r="E31" s="1" t="inlineStr">
        <is>
          <t>玉ねぎ、にんにく、小麦。</t>
        </is>
      </c>
      <c r="F31" s="1" t="inlineStr">
        <is>
          <t>にんにくや玉ねぎの植え付け・収穫における短期集中的な労働需要。</t>
        </is>
      </c>
      <c r="G31" s="1" t="inlineStr">
        <is>
          <t>完全成果報酬型モデルを提示し、コストリスクなしで繁忙期に向けた人員確保の準備を促す。</t>
        </is>
      </c>
      <c r="H31" s="1" t="n"/>
      <c r="I31" s="1" t="n"/>
      <c r="J31" s="1" t="n"/>
      <c r="K31" s="1" t="n"/>
      <c r="L31" s="1" t="n"/>
      <c r="M31" s="1" t="n"/>
      <c r="N31" s="1" t="n"/>
      <c r="O31" s="1" t="n"/>
      <c r="P31" s="1" t="n"/>
      <c r="Q31" s="1" t="n"/>
      <c r="R31" s="1" t="n"/>
      <c r="S31" s="1" t="n"/>
      <c r="T31" s="1" t="n"/>
      <c r="U31" s="1" t="n"/>
      <c r="V31" s="1" t="n"/>
      <c r="W31" s="1" t="n"/>
      <c r="X31" s="1" t="n"/>
      <c r="Y31" s="1" t="n"/>
      <c r="Z31" s="1" t="n"/>
      <c r="AA31" s="1" t="n"/>
      <c r="AB31" s="1" t="n"/>
      <c r="AC31" s="1" t="n"/>
      <c r="AD31" s="1" t="n"/>
      <c r="AE31" s="1" t="n"/>
      <c r="AF31" s="1" t="n"/>
      <c r="AG31" s="1" t="inlineStr">
        <is>
          <t>BREXA CrossBorder</t>
        </is>
      </c>
      <c r="AH31" s="1" t="inlineStr">
        <is>
          <t>武田 悦郎</t>
        </is>
      </c>
      <c r="AI31" s="1" t="n"/>
      <c r="AJ31" s="1" t="n"/>
      <c r="AK31" s="1" t="n"/>
      <c r="AL31" s="1" t="n"/>
      <c r="AM31" s="1" t="n"/>
      <c r="AN31" s="1" t="n"/>
      <c r="AO31">
        <f>COUNTIFS(加電履歴!$F:$F,A31,加電履歴!$E:$E,"JAリスト")</f>
        <v/>
      </c>
      <c r="AP31" s="10">
        <f>IFERROR(IF(COUNTIFS(加電履歴!$F:$F,A31,加電履歴!$E:$E,"JAリスト")=0,"",MAXIFS(加電履歴!$B:$B,加電履歴!$F:$F,A31,加電履歴!$E:$E,"JAリスト")),"")</f>
        <v/>
      </c>
      <c r="AQ31">
        <f>IFERROR(IF(COUNTIFS(加電履歴!$F:$F,A31,加電履歴!$E:$E,"JAリスト")=0,"",INDEX(加電履歴!$I:$I,MATCH(1,(加電履歴!$F:$F=A31)*(加電履歴!$E:$E="JAリスト")*(加電履歴!$B:$B=MAXIFS(加電履歴!$B:$B,加電履歴!$F:$F,A31,加電履歴!$E:$E,"JAリスト")),0))),"")</f>
        <v/>
      </c>
    </row>
    <row r="32" ht="12.5" customHeight="1">
      <c r="A32" s="1" t="inlineStr">
        <is>
          <t>JAめまんべつ</t>
        </is>
      </c>
      <c r="B32" s="12" t="inlineStr">
        <is>
          <t>https://www.ja-memanbetsu.jp/</t>
        </is>
      </c>
      <c r="C32" s="13" t="inlineStr">
        <is>
          <t>北海道網走郡大空町女満別西4条5丁目1-27 (〒099-2324)</t>
        </is>
      </c>
      <c r="D32" s="13" t="inlineStr">
        <is>
          <t>0152-74-2131</t>
        </is>
      </c>
      <c r="E32" s="1" t="inlineStr">
        <is>
          <t>麦、ビート、じゃがいも、長いも。</t>
        </is>
      </c>
      <c r="F32" s="1" t="inlineStr">
        <is>
          <t>長いもの収穫など重労働が多く、体力のある若手人材の確保が必須。</t>
        </is>
      </c>
      <c r="G32" s="1" t="inlineStr">
        <is>
          <t>生活サポートや日本語教育を通じて、若手人材が地域社会に馴染みやすくする独自の支援体制をアピール。</t>
        </is>
      </c>
      <c r="H32" s="1" t="n"/>
      <c r="I32" s="1" t="n"/>
      <c r="J32" s="1" t="n"/>
      <c r="K32" s="1" t="n"/>
      <c r="L32" s="1" t="n"/>
      <c r="M32" s="1" t="n"/>
      <c r="N32" s="1" t="n"/>
      <c r="O32" s="1" t="n"/>
      <c r="P32" s="1" t="n"/>
      <c r="Q32" s="1" t="n"/>
      <c r="R32" s="1" t="n"/>
      <c r="S32" s="1" t="n"/>
      <c r="T32" s="1" t="n"/>
      <c r="U32" s="1" t="n"/>
      <c r="V32" s="1" t="n"/>
      <c r="W32" s="1" t="n"/>
      <c r="X32" s="1" t="n"/>
      <c r="Y32" s="1" t="n"/>
      <c r="Z32" s="1" t="n"/>
      <c r="AA32" s="1" t="n"/>
      <c r="AB32" s="1" t="n"/>
      <c r="AC32" s="1" t="n"/>
      <c r="AD32" s="1" t="n"/>
      <c r="AE32" s="1" t="n"/>
      <c r="AF32" s="1" t="n"/>
      <c r="AG32" s="1" t="inlineStr">
        <is>
          <t>BREXA CrossBorder</t>
        </is>
      </c>
      <c r="AH32" s="1" t="inlineStr">
        <is>
          <t>武田 悦郎</t>
        </is>
      </c>
      <c r="AI32" s="1" t="n"/>
      <c r="AJ32" s="1" t="n"/>
      <c r="AK32" s="1" t="n"/>
      <c r="AL32" s="1" t="n"/>
      <c r="AM32" s="1" t="n"/>
      <c r="AN32" s="1" t="n"/>
      <c r="AO32">
        <f>COUNTIFS(加電履歴!$F:$F,A32,加電履歴!$E:$E,"JAリスト")</f>
        <v/>
      </c>
      <c r="AP32" s="10">
        <f>IFERROR(IF(COUNTIFS(加電履歴!$F:$F,A32,加電履歴!$E:$E,"JAリスト")=0,"",MAXIFS(加電履歴!$B:$B,加電履歴!$F:$F,A32,加電履歴!$E:$E,"JAリスト")),"")</f>
        <v/>
      </c>
      <c r="AQ32">
        <f>IFERROR(IF(COUNTIFS(加電履歴!$F:$F,A32,加電履歴!$E:$E,"JAリスト")=0,"",INDEX(加電履歴!$I:$I,MATCH(1,(加電履歴!$F:$F=A32)*(加電履歴!$E:$E="JAリスト")*(加電履歴!$B:$B=MAXIFS(加電履歴!$B:$B,加電履歴!$F:$F,A32,加電履歴!$E:$E,"JAリスト")),0))),"")</f>
        <v/>
      </c>
    </row>
    <row r="33" ht="12.5" customHeight="1">
      <c r="A33" s="1" t="inlineStr">
        <is>
          <t>JAびほろ</t>
        </is>
      </c>
      <c r="B33" s="12" t="inlineStr">
        <is>
          <t>https://www.ja-bihoro.or.jp/</t>
        </is>
      </c>
      <c r="C33" s="13" t="inlineStr">
        <is>
          <t>北海道網走郡美幌町字青山南30番地1 (〒092-8651)</t>
        </is>
      </c>
      <c r="D33" s="13" t="inlineStr">
        <is>
          <t>0152-72-1111</t>
        </is>
      </c>
      <c r="E33" s="1" t="inlineStr">
        <is>
          <t>玉ねぎ、じゃがいも、ビート。</t>
        </is>
      </c>
      <c r="F33" s="1" t="inlineStr">
        <is>
          <t>大規模機械化が進むが、機械で代替できない選別作業等の人手が必要。</t>
        </is>
      </c>
      <c r="G33" s="1" t="inlineStr">
        <is>
          <t>指示の理解度を高めるための「やさしい日本語講座」を提供し、作業効率の低下を防ぐ支援を強調。</t>
        </is>
      </c>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c r="AG33" s="1" t="inlineStr">
        <is>
          <t>BREXA CrossBorder</t>
        </is>
      </c>
      <c r="AH33" s="1" t="inlineStr">
        <is>
          <t>武田 悦郎</t>
        </is>
      </c>
      <c r="AI33" s="1" t="n"/>
      <c r="AJ33" s="1" t="n"/>
      <c r="AK33" s="1" t="n"/>
      <c r="AL33" s="1" t="n"/>
      <c r="AM33" s="1" t="n"/>
      <c r="AN33" s="1" t="n"/>
      <c r="AO33">
        <f>COUNTIFS(加電履歴!$F:$F,A33,加電履歴!$E:$E,"JAリスト")</f>
        <v/>
      </c>
      <c r="AP33" s="10">
        <f>IFERROR(IF(COUNTIFS(加電履歴!$F:$F,A33,加電履歴!$E:$E,"JAリスト")=0,"",MAXIFS(加電履歴!$B:$B,加電履歴!$F:$F,A33,加電履歴!$E:$E,"JAリスト")),"")</f>
        <v/>
      </c>
      <c r="AQ33">
        <f>IFERROR(IF(COUNTIFS(加電履歴!$F:$F,A33,加電履歴!$E:$E,"JAリスト")=0,"",INDEX(加電履歴!$I:$I,MATCH(1,(加電履歴!$F:$F=A33)*(加電履歴!$E:$E="JAリスト")*(加電履歴!$B:$B=MAXIFS(加電履歴!$B:$B,加電履歴!$F:$F,A33,加電履歴!$E:$E,"JAリスト")),0))),"")</f>
        <v/>
      </c>
    </row>
    <row r="34" ht="12.5" customHeight="1">
      <c r="A34" s="1" t="inlineStr">
        <is>
          <t>JAつべつ</t>
        </is>
      </c>
      <c r="B34" s="12" t="inlineStr">
        <is>
          <t>https://www.jatsubetsu.or.jp/</t>
        </is>
      </c>
      <c r="C34" s="13" t="inlineStr">
        <is>
          <t>北海道網走郡津別町字大通30番地1 (〒092-0231)</t>
        </is>
      </c>
      <c r="D34" s="13" t="inlineStr">
        <is>
          <t>0152-76-3322</t>
        </is>
      </c>
      <c r="E34" s="1" t="inlineStr">
        <is>
          <t>アスパラガス、じゃがいも、酪農。</t>
        </is>
      </c>
      <c r="F34" s="1" t="inlineStr">
        <is>
          <t>畑作と酪農が混在し、農家によって求める人材のスキルセットが異なる。</t>
        </is>
      </c>
      <c r="G34" s="1" t="inlineStr">
        <is>
          <t>人材紹介の専門性を活かした緻密なマッチングと、補助金申請サポートによる安心感を提供。</t>
        </is>
      </c>
      <c r="H34" s="1" t="n"/>
      <c r="I34" s="1" t="n"/>
      <c r="J34" s="1" t="n"/>
      <c r="K34" s="1" t="n"/>
      <c r="L34" s="1" t="n"/>
      <c r="M34" s="1" t="n"/>
      <c r="N34" s="1" t="n"/>
      <c r="O34" s="1" t="n"/>
      <c r="P34" s="1" t="n"/>
      <c r="Q34" s="1" t="n"/>
      <c r="R34" s="1" t="n"/>
      <c r="S34" s="1" t="n"/>
      <c r="T34" s="1" t="n"/>
      <c r="U34" s="1" t="n"/>
      <c r="V34" s="1" t="n"/>
      <c r="W34" s="1" t="n"/>
      <c r="X34" s="1" t="n"/>
      <c r="Y34" s="1" t="n"/>
      <c r="Z34" s="1" t="n"/>
      <c r="AA34" s="1" t="n"/>
      <c r="AB34" s="1" t="n"/>
      <c r="AC34" s="1" t="n"/>
      <c r="AD34" s="1" t="n"/>
      <c r="AE34" s="1" t="n"/>
      <c r="AF34" s="1" t="n"/>
      <c r="AG34" s="1" t="inlineStr">
        <is>
          <t>BREXA CrossBorder</t>
        </is>
      </c>
      <c r="AH34" s="1" t="inlineStr">
        <is>
          <t>武田 悦郎</t>
        </is>
      </c>
      <c r="AI34" s="1" t="n"/>
      <c r="AJ34" s="1" t="n"/>
      <c r="AK34" s="1" t="n"/>
      <c r="AL34" s="1" t="n"/>
      <c r="AM34" s="1" t="n"/>
      <c r="AN34" s="1" t="n"/>
      <c r="AO34">
        <f>COUNTIFS(加電履歴!$F:$F,A34,加電履歴!$E:$E,"JAリスト")</f>
        <v/>
      </c>
      <c r="AP34" s="10">
        <f>IFERROR(IF(COUNTIFS(加電履歴!$F:$F,A34,加電履歴!$E:$E,"JAリスト")=0,"",MAXIFS(加電履歴!$B:$B,加電履歴!$F:$F,A34,加電履歴!$E:$E,"JAリスト")),"")</f>
        <v/>
      </c>
      <c r="AQ34">
        <f>IFERROR(IF(COUNTIFS(加電履歴!$F:$F,A34,加電履歴!$E:$E,"JAリスト")=0,"",INDEX(加電履歴!$I:$I,MATCH(1,(加電履歴!$F:$F=A34)*(加電履歴!$E:$E="JAリスト")*(加電履歴!$B:$B=MAXIFS(加電履歴!$B:$B,加電履歴!$F:$F,A34,加電履歴!$E:$E,"JAリスト")),0))),"")</f>
        <v/>
      </c>
    </row>
    <row r="35" ht="12.5" customHeight="1">
      <c r="A35" s="13" t="inlineStr">
        <is>
          <t>JAしれとこ斜里 (旧JA斜里町)</t>
        </is>
      </c>
      <c r="B35" s="12" t="inlineStr">
        <is>
          <t>https://ja-shiretokoshari.or.jp/</t>
        </is>
      </c>
      <c r="C35" s="13" t="inlineStr">
        <is>
          <t>北海道斜里郡斜里町本町36-1 (〒099-4195)</t>
        </is>
      </c>
      <c r="D35" s="13" t="inlineStr">
        <is>
          <t>0152-23-3151</t>
        </is>
      </c>
      <c r="E35" s="1" t="inlineStr">
        <is>
          <t>じゃがいも、てんさい、にんじん。</t>
        </is>
      </c>
      <c r="F35" s="1" t="inlineStr">
        <is>
          <t>知床の厳しい自然環境下での大規模農業。収穫期の選果場労働力がボトルネック。</t>
        </is>
      </c>
      <c r="G35" s="1" t="inlineStr">
        <is>
          <t>手厚い生活指導と語学サポートにより、地方の環境でも孤立させない定着支援プログラムを提案。</t>
        </is>
      </c>
      <c r="H35" s="1" t="n"/>
      <c r="I35" s="1" t="n"/>
      <c r="J35" s="1" t="n"/>
      <c r="K35" s="1" t="n"/>
      <c r="L35" s="1" t="n"/>
      <c r="M35" s="1" t="n"/>
      <c r="N35" s="1" t="n"/>
      <c r="O35" s="1" t="n"/>
      <c r="P35" s="1" t="n"/>
      <c r="Q35" s="1" t="n"/>
      <c r="R35" s="1" t="n"/>
      <c r="S35" s="1" t="n"/>
      <c r="T35" s="1" t="n"/>
      <c r="U35" s="1" t="n"/>
      <c r="V35" s="1" t="n"/>
      <c r="W35" s="1" t="n"/>
      <c r="X35" s="1" t="n"/>
      <c r="Y35" s="1" t="n"/>
      <c r="Z35" s="1" t="n"/>
      <c r="AA35" s="1" t="n"/>
      <c r="AB35" s="1" t="n"/>
      <c r="AC35" s="1" t="n"/>
      <c r="AD35" s="1" t="n"/>
      <c r="AE35" s="1" t="n"/>
      <c r="AF35" s="1" t="n"/>
      <c r="AG35" s="1" t="inlineStr">
        <is>
          <t>BREXA CrossBorder</t>
        </is>
      </c>
      <c r="AH35" s="1" t="inlineStr">
        <is>
          <t>武田 悦郎</t>
        </is>
      </c>
      <c r="AI35" s="1" t="n"/>
      <c r="AJ35" s="1" t="n"/>
      <c r="AK35" s="1" t="n"/>
      <c r="AL35" s="1" t="n"/>
      <c r="AM35" s="1" t="n"/>
      <c r="AN35" s="1" t="n"/>
      <c r="AO35">
        <f>COUNTIFS(加電履歴!$F:$F,A35,加電履歴!$E:$E,"JAリスト")</f>
        <v/>
      </c>
      <c r="AP35" s="10">
        <f>IFERROR(IF(COUNTIFS(加電履歴!$F:$F,A35,加電履歴!$E:$E,"JAリスト")=0,"",MAXIFS(加電履歴!$B:$B,加電履歴!$F:$F,A35,加電履歴!$E:$E,"JAリスト")),"")</f>
        <v/>
      </c>
      <c r="AQ35">
        <f>IFERROR(IF(COUNTIFS(加電履歴!$F:$F,A35,加電履歴!$E:$E,"JAリスト")=0,"",INDEX(加電履歴!$I:$I,MATCH(1,(加電履歴!$F:$F=A35)*(加電履歴!$E:$E="JAリスト")*(加電履歴!$B:$B=MAXIFS(加電履歴!$B:$B,加電履歴!$F:$F,A35,加電履歴!$E:$E,"JAリスト")),0))),"")</f>
        <v/>
      </c>
    </row>
    <row r="36" ht="12.5" customHeight="1">
      <c r="A36" s="1" t="inlineStr">
        <is>
          <t>JA清里町</t>
        </is>
      </c>
      <c r="B36" s="12" t="inlineStr">
        <is>
          <t>https://ja-kiyosato.or.jp/</t>
        </is>
      </c>
      <c r="C36" s="13" t="inlineStr">
        <is>
          <t>北海道斜里郡清里町羽衣町2 (〒099-4405)</t>
        </is>
      </c>
      <c r="D36" s="13" t="inlineStr">
        <is>
          <t>0152-25-2212</t>
        </is>
      </c>
      <c r="E36" s="1" t="inlineStr">
        <is>
          <t>じゃがいも（焼酎原料含む）、小麦。</t>
        </is>
      </c>
      <c r="F36" s="1" t="inlineStr">
        <is>
          <t>焼酎工場などの加工施設連携もあり、農作業以外の関連業務への波及効果も。</t>
        </is>
      </c>
      <c r="G36" s="1" t="inlineStr">
        <is>
          <t>補助金採択を前提とした完全成果報酬で、組合を通じた地域全体の労働力底上げを打診する。</t>
        </is>
      </c>
      <c r="H36" s="1" t="n"/>
      <c r="I36" s="1" t="n"/>
      <c r="J36" s="1" t="n"/>
      <c r="K36" s="1" t="n"/>
      <c r="L36" s="1" t="n"/>
      <c r="M36" s="1" t="n"/>
      <c r="N36" s="1" t="n"/>
      <c r="O36" s="1" t="n"/>
      <c r="P36" s="1" t="n"/>
      <c r="Q36" s="1" t="n"/>
      <c r="R36" s="1" t="n"/>
      <c r="S36" s="1" t="n"/>
      <c r="T36" s="1" t="n"/>
      <c r="U36" s="1" t="n"/>
      <c r="V36" s="1" t="n"/>
      <c r="W36" s="1" t="n"/>
      <c r="X36" s="1" t="n"/>
      <c r="Y36" s="1" t="n"/>
      <c r="Z36" s="1" t="n"/>
      <c r="AA36" s="1" t="n"/>
      <c r="AB36" s="1" t="n"/>
      <c r="AC36" s="1" t="n"/>
      <c r="AD36" s="1" t="n"/>
      <c r="AE36" s="1" t="n"/>
      <c r="AF36" s="1" t="n"/>
      <c r="AG36" s="1" t="inlineStr">
        <is>
          <t>BREXA CrossBorder</t>
        </is>
      </c>
      <c r="AH36" s="1" t="inlineStr">
        <is>
          <t>武田 悦郎</t>
        </is>
      </c>
      <c r="AI36" s="1" t="n"/>
      <c r="AJ36" s="1" t="n"/>
      <c r="AK36" s="1" t="n"/>
      <c r="AL36" s="1" t="n"/>
      <c r="AM36" s="1" t="n"/>
      <c r="AN36" s="1" t="n"/>
      <c r="AO36">
        <f>COUNTIFS(加電履歴!$F:$F,A36,加電履歴!$E:$E,"JAリスト")</f>
        <v/>
      </c>
      <c r="AP36" s="10">
        <f>IFERROR(IF(COUNTIFS(加電履歴!$F:$F,A36,加電履歴!$E:$E,"JAリスト")=0,"",MAXIFS(加電履歴!$B:$B,加電履歴!$F:$F,A36,加電履歴!$E:$E,"JAリスト")),"")</f>
        <v/>
      </c>
      <c r="AQ36">
        <f>IFERROR(IF(COUNTIFS(加電履歴!$F:$F,A36,加電履歴!$E:$E,"JAリスト")=0,"",INDEX(加電履歴!$I:$I,MATCH(1,(加電履歴!$F:$F=A36)*(加電履歴!$E:$E="JAリスト")*(加電履歴!$B:$B=MAXIFS(加電履歴!$B:$B,加電履歴!$F:$F,A36,加電履歴!$E:$E,"JAリスト")),0))),"")</f>
        <v/>
      </c>
    </row>
    <row r="37" ht="12.5" customHeight="1">
      <c r="A37" s="1" t="inlineStr">
        <is>
          <t>JAこしみず</t>
        </is>
      </c>
      <c r="B37" s="12" t="inlineStr">
        <is>
          <t>https://ja-koshimizu.jp/</t>
        </is>
      </c>
      <c r="C37" s="13" t="inlineStr">
        <is>
          <t>北海道斜里郡小清水町南町1-5-27</t>
        </is>
      </c>
      <c r="D37" s="13" t="inlineStr">
        <is>
          <t>0152-62-2111</t>
        </is>
      </c>
      <c r="E37" s="1" t="inlineStr">
        <is>
          <t>じゃがいも、小麦、てんさい。</t>
        </is>
      </c>
      <c r="F37" s="1" t="inlineStr">
        <is>
          <t>大規模畑作地帯におけるトラクターオペレーター不足と収穫補助員の人材難。</t>
        </is>
      </c>
      <c r="G37" s="1" t="inlineStr">
        <is>
          <t>安全な作業を実現するための語学・コミュニケーション教育の専門性を、他社にはない強みとしてアピール。</t>
        </is>
      </c>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c r="AG37" s="1" t="inlineStr">
        <is>
          <t>BREXA CrossBorder</t>
        </is>
      </c>
      <c r="AH37" s="1" t="inlineStr">
        <is>
          <t>武田 悦郎</t>
        </is>
      </c>
      <c r="AI37" s="1" t="n"/>
      <c r="AJ37" s="1" t="n"/>
      <c r="AK37" s="1" t="n"/>
      <c r="AL37" s="1" t="n"/>
      <c r="AM37" s="1" t="n"/>
      <c r="AN37" s="1" t="n"/>
      <c r="AO37">
        <f>COUNTIFS(加電履歴!$F:$F,A37,加電履歴!$E:$E,"JAリスト")</f>
        <v/>
      </c>
      <c r="AP37" s="10">
        <f>IFERROR(IF(COUNTIFS(加電履歴!$F:$F,A37,加電履歴!$E:$E,"JAリスト")=0,"",MAXIFS(加電履歴!$B:$B,加電履歴!$F:$F,A37,加電履歴!$E:$E,"JAリスト")),"")</f>
        <v/>
      </c>
      <c r="AQ37">
        <f>IFERROR(IF(COUNTIFS(加電履歴!$F:$F,A37,加電履歴!$E:$E,"JAリスト")=0,"",INDEX(加電履歴!$I:$I,MATCH(1,(加電履歴!$F:$F=A37)*(加電履歴!$E:$E="JAリスト")*(加電履歴!$B:$B=MAXIFS(加電履歴!$B:$B,加電履歴!$F:$F,A37,加電履歴!$E:$E,"JAリスト")),0))),"")</f>
        <v/>
      </c>
    </row>
    <row r="38" ht="12.5" customHeight="1">
      <c r="A38" s="1" t="inlineStr">
        <is>
          <t>JAえんゆう</t>
        </is>
      </c>
      <c r="B38" s="12" t="inlineStr">
        <is>
          <t>https://www.ja-enyu.com/</t>
        </is>
      </c>
      <c r="C38" s="13" t="inlineStr">
        <is>
          <t>北海道紋別郡湧別町上湧別屯田市街地230番地 (〒099-6501) ※本所</t>
        </is>
      </c>
      <c r="D38" s="13" t="inlineStr">
        <is>
          <t>01586-2-2161</t>
        </is>
      </c>
      <c r="E38" s="1" t="inlineStr">
        <is>
          <t>玉ねぎ、アスパラガス、酪農。</t>
        </is>
      </c>
      <c r="F38" s="1" t="inlineStr">
        <is>
          <t>広域合併による大規模JAであり、管内での労働力の偏りや一括した採用管理が課題。</t>
        </is>
      </c>
      <c r="G38" s="1" t="inlineStr">
        <is>
          <t>JA本所を一括窓口とした、補助金申請から日本語教育、定着支援までをパッケージ化した総合提案。</t>
        </is>
      </c>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c r="AG38" s="1" t="inlineStr">
        <is>
          <t>BREXA CrossBorder</t>
        </is>
      </c>
      <c r="AH38" s="1" t="inlineStr">
        <is>
          <t>武田 悦郎</t>
        </is>
      </c>
      <c r="AI38" s="1" t="n"/>
      <c r="AJ38" s="1" t="n"/>
      <c r="AK38" s="1" t="n"/>
      <c r="AL38" s="1" t="n"/>
      <c r="AM38" s="1" t="n"/>
      <c r="AN38" s="1" t="n"/>
      <c r="AO38">
        <f>COUNTIFS(加電履歴!$F:$F,A38,加電履歴!$E:$E,"JAリスト")</f>
        <v/>
      </c>
      <c r="AP38" s="10">
        <f>IFERROR(IF(COUNTIFS(加電履歴!$F:$F,A38,加電履歴!$E:$E,"JAリスト")=0,"",MAXIFS(加電履歴!$B:$B,加電履歴!$F:$F,A38,加電履歴!$E:$E,"JAリスト")),"")</f>
        <v/>
      </c>
      <c r="AQ38">
        <f>IFERROR(IF(COUNTIFS(加電履歴!$F:$F,A38,加電履歴!$E:$E,"JAリスト")=0,"",INDEX(加電履歴!$I:$I,MATCH(1,(加電履歴!$F:$F=A38)*(加電履歴!$E:$E="JAリスト")*(加電履歴!$B:$B=MAXIFS(加電履歴!$B:$B,加電履歴!$F:$F,A38,加電履歴!$E:$E,"JAリスト")),0))),"")</f>
        <v/>
      </c>
    </row>
    <row r="39" ht="12.5" customHeight="1">
      <c r="A39" s="13" t="inlineStr">
        <is>
          <t>JA帯広かわにし</t>
        </is>
      </c>
      <c r="B39" s="12" t="inlineStr">
        <is>
          <t>https://www.jaobihirokawanisi.or.jp/</t>
        </is>
      </c>
      <c r="C39" s="13" t="inlineStr">
        <is>
          <t>北海道帯広市川西町西2線61番地の1 (〒089-1198)</t>
        </is>
      </c>
      <c r="D39" s="13" t="inlineStr">
        <is>
          <t>0155-59-2111</t>
        </is>
      </c>
      <c r="E39" s="1" t="inlineStr">
        <is>
          <t>長いも（台湾等へ輸出）、じゃがいも。</t>
        </is>
      </c>
      <c r="F39" s="1" t="inlineStr">
        <is>
          <t>輸出向け長いもの徹底した品質管理と、選果場での大規模な人員確保。</t>
        </is>
      </c>
      <c r="G39" s="1" t="inlineStr">
        <is>
          <t>グローバルな視点を持つJAに対し、異文化理解や語学に強い人材紹介スキームを提案。</t>
        </is>
      </c>
      <c r="H39" s="1" t="n"/>
      <c r="I39" s="1" t="n"/>
      <c r="J39" s="1" t="n"/>
      <c r="K39" s="1" t="n"/>
      <c r="L39" s="1" t="n"/>
      <c r="M39" s="1" t="n"/>
      <c r="N39" s="1" t="n"/>
      <c r="O39" s="1" t="n"/>
      <c r="P39" s="1" t="n"/>
      <c r="Q39" s="1" t="n"/>
      <c r="R39" s="1" t="n"/>
      <c r="S39" s="1" t="n"/>
      <c r="T39" s="1" t="n"/>
      <c r="U39" s="1" t="n"/>
      <c r="V39" s="1" t="n"/>
      <c r="W39" s="1" t="n"/>
      <c r="X39" s="1" t="n"/>
      <c r="Y39" s="1" t="n"/>
      <c r="Z39" s="1" t="n"/>
      <c r="AA39" s="1" t="n"/>
      <c r="AB39" s="1" t="n"/>
      <c r="AC39" s="1" t="n"/>
      <c r="AD39" s="1" t="n"/>
      <c r="AE39" s="1" t="n"/>
      <c r="AF39" s="1" t="n"/>
      <c r="AG39" s="1" t="inlineStr">
        <is>
          <t>BREXA CrossBorder</t>
        </is>
      </c>
      <c r="AH39" s="1" t="inlineStr">
        <is>
          <t>武田 悦郎</t>
        </is>
      </c>
      <c r="AI39" s="1" t="n"/>
      <c r="AJ39" s="1" t="n"/>
      <c r="AK39" s="1" t="n"/>
      <c r="AL39" s="1" t="n"/>
      <c r="AM39" s="1" t="n"/>
      <c r="AN39" s="1" t="n"/>
      <c r="AO39">
        <f>COUNTIFS(加電履歴!$F:$F,A39,加電履歴!$E:$E,"JAリスト")</f>
        <v/>
      </c>
      <c r="AP39" s="10">
        <f>IFERROR(IF(COUNTIFS(加電履歴!$F:$F,A39,加電履歴!$E:$E,"JAリスト")=0,"",MAXIFS(加電履歴!$B:$B,加電履歴!$F:$F,A39,加電履歴!$E:$E,"JAリスト")),"")</f>
        <v/>
      </c>
      <c r="AQ39">
        <f>IFERROR(IF(COUNTIFS(加電履歴!$F:$F,A39,加電履歴!$E:$E,"JAリスト")=0,"",INDEX(加電履歴!$I:$I,MATCH(1,(加電履歴!$F:$F=A39)*(加電履歴!$E:$E="JAリスト")*(加電履歴!$B:$B=MAXIFS(加電履歴!$B:$B,加電履歴!$F:$F,A39,加電履歴!$E:$E,"JAリスト")),0))),"")</f>
        <v/>
      </c>
    </row>
    <row r="40" ht="12.5" customHeight="1">
      <c r="A40" s="13" t="inlineStr">
        <is>
          <t>JAおびひろ ※2003年JA帯広かわにしへ合併・現存せず</t>
        </is>
      </c>
      <c r="B40" s="14" t="inlineStr"/>
      <c r="C40" s="13" t="inlineStr">
        <is>
          <t>※旧帯広市農協はJA帯広かわにしに統合済み (Row 39参照)</t>
        </is>
      </c>
      <c r="D40" s="13" t="inlineStr">
        <is>
          <t>※存続団体: JA帯広かわにし 0155-59-2111</t>
        </is>
      </c>
      <c r="E40" s="1" t="inlineStr">
        <is>
          <t>畑作全般、酪農。</t>
        </is>
      </c>
      <c r="F40" s="1" t="inlineStr">
        <is>
          <t>都市部と隣接する農業エリアでの、多様な労働力ニーズの混在。</t>
        </is>
      </c>
      <c r="G40" s="1" t="inlineStr">
        <is>
          <t>成果報酬型で導入リスクを排除しつつ、語学教育の知見を応用した独自の日本語サポートを提示。</t>
        </is>
      </c>
      <c r="H40" s="1" t="n"/>
      <c r="I40" s="1" t="n"/>
      <c r="J40" s="1" t="n"/>
      <c r="K40" s="1" t="n"/>
      <c r="L40" s="1" t="n"/>
      <c r="M40" s="1" t="n"/>
      <c r="N40" s="1" t="n"/>
      <c r="O40" s="1" t="n"/>
      <c r="P40" s="1" t="n"/>
      <c r="Q40" s="1" t="n"/>
      <c r="R40" s="1" t="n"/>
      <c r="S40" s="1" t="n"/>
      <c r="T40" s="1" t="n"/>
      <c r="U40" s="1" t="n"/>
      <c r="V40" s="1" t="n"/>
      <c r="W40" s="1" t="n"/>
      <c r="X40" s="1" t="n"/>
      <c r="Y40" s="1" t="n"/>
      <c r="Z40" s="1" t="n"/>
      <c r="AA40" s="1" t="n"/>
      <c r="AB40" s="1" t="n"/>
      <c r="AC40" s="1" t="n"/>
      <c r="AD40" s="1" t="n"/>
      <c r="AE40" s="1" t="n"/>
      <c r="AF40" s="1" t="n"/>
      <c r="AG40" s="1" t="inlineStr">
        <is>
          <t>BREXA CrossBorder</t>
        </is>
      </c>
      <c r="AH40" s="1" t="inlineStr">
        <is>
          <t>武田 悦郎</t>
        </is>
      </c>
      <c r="AI40" s="1" t="n"/>
      <c r="AJ40" s="1" t="n"/>
      <c r="AK40" s="1" t="n"/>
      <c r="AL40" s="1" t="n"/>
      <c r="AM40" s="1" t="n"/>
      <c r="AN40" s="1" t="n"/>
      <c r="AO40">
        <f>COUNTIFS(加電履歴!$F:$F,A40,加電履歴!$E:$E,"JAリスト")</f>
        <v/>
      </c>
      <c r="AP40" s="10">
        <f>IFERROR(IF(COUNTIFS(加電履歴!$F:$F,A40,加電履歴!$E:$E,"JAリスト")=0,"",MAXIFS(加電履歴!$B:$B,加電履歴!$F:$F,A40,加電履歴!$E:$E,"JAリスト")),"")</f>
        <v/>
      </c>
      <c r="AQ40">
        <f>IFERROR(IF(COUNTIFS(加電履歴!$F:$F,A40,加電履歴!$E:$E,"JAリスト")=0,"",INDEX(加電履歴!$I:$I,MATCH(1,(加電履歴!$F:$F=A40)*(加電履歴!$E:$E="JAリスト")*(加電履歴!$B:$B=MAXIFS(加電履歴!$B:$B,加電履歴!$F:$F,A40,加電履歴!$E:$E,"JAリスト")),0))),"")</f>
        <v/>
      </c>
    </row>
    <row r="41" ht="12.5" customHeight="1">
      <c r="A41" s="13" t="inlineStr">
        <is>
          <t>JAおとふけ</t>
        </is>
      </c>
      <c r="B41" s="12" t="inlineStr">
        <is>
          <t>https://www.ja-otofuke.jp/</t>
        </is>
      </c>
      <c r="C41" s="13" t="inlineStr">
        <is>
          <t>北海道河東郡音更町大通5丁目1番地 (〒080-0101) ※2024/7移転</t>
        </is>
      </c>
      <c r="D41" s="13" t="inlineStr">
        <is>
          <t>0155-42-8725</t>
        </is>
      </c>
      <c r="E41" s="1" t="inlineStr">
        <is>
          <t>小麦、豆類、てんさい、ブロッコリー。</t>
        </is>
      </c>
      <c r="F41" s="1" t="inlineStr">
        <is>
          <t>作付面積・生産量ともに国内トップクラスであり、圧倒的な数の労働力が必要。</t>
        </is>
      </c>
      <c r="G41" s="1" t="inlineStr">
        <is>
          <t>費用負担を最小化する補助金活用スキームと、手厚い通訳・翻訳サポートを提案。</t>
        </is>
      </c>
      <c r="H41" s="1" t="n"/>
      <c r="I41" s="1" t="n"/>
      <c r="J41" s="1" t="n"/>
      <c r="K41" s="1" t="n"/>
      <c r="L41" s="1" t="n"/>
      <c r="M41" s="1" t="n"/>
      <c r="N41" s="1" t="n"/>
      <c r="O41" s="1" t="n"/>
      <c r="P41" s="1" t="n"/>
      <c r="Q41" s="1" t="n"/>
      <c r="R41" s="1" t="n"/>
      <c r="S41" s="1" t="n"/>
      <c r="T41" s="1" t="n"/>
      <c r="U41" s="1" t="n"/>
      <c r="V41" s="1" t="n"/>
      <c r="W41" s="1" t="n"/>
      <c r="X41" s="1" t="n"/>
      <c r="Y41" s="1" t="n"/>
      <c r="Z41" s="1" t="n"/>
      <c r="AA41" s="1" t="n"/>
      <c r="AB41" s="1" t="n"/>
      <c r="AC41" s="1" t="n"/>
      <c r="AD41" s="1" t="n"/>
      <c r="AE41" s="1" t="n"/>
      <c r="AF41" s="1" t="n"/>
      <c r="AG41" s="1" t="inlineStr">
        <is>
          <t>BREXA CrossBorder</t>
        </is>
      </c>
      <c r="AH41" s="1" t="inlineStr">
        <is>
          <t>武田 悦郎</t>
        </is>
      </c>
      <c r="AI41" s="1" t="n"/>
      <c r="AJ41" s="1" t="n"/>
      <c r="AK41" s="1" t="n"/>
      <c r="AL41" s="1" t="n"/>
      <c r="AM41" s="1" t="n"/>
      <c r="AN41" s="1" t="n"/>
      <c r="AO41">
        <f>COUNTIFS(加電履歴!$F:$F,A41,加電履歴!$E:$E,"JAリスト")</f>
        <v/>
      </c>
      <c r="AP41" s="10">
        <f>IFERROR(IF(COUNTIFS(加電履歴!$F:$F,A41,加電履歴!$E:$E,"JAリスト")=0,"",MAXIFS(加電履歴!$B:$B,加電履歴!$F:$F,A41,加電履歴!$E:$E,"JAリスト")),"")</f>
        <v/>
      </c>
      <c r="AQ41">
        <f>IFERROR(IF(COUNTIFS(加電履歴!$F:$F,A41,加電履歴!$E:$E,"JAリスト")=0,"",INDEX(加電履歴!$I:$I,MATCH(1,(加電履歴!$F:$F=A41)*(加電履歴!$E:$E="JAリスト")*(加電履歴!$B:$B=MAXIFS(加電履歴!$B:$B,加電履歴!$F:$F,A41,加電履歴!$E:$E,"JAリスト")),0))),"")</f>
        <v/>
      </c>
    </row>
    <row r="42" ht="12.5" customHeight="1">
      <c r="A42" s="13" t="inlineStr">
        <is>
          <t>JA木野</t>
        </is>
      </c>
      <c r="B42" s="12" t="inlineStr">
        <is>
          <t>https://ja-kino.com/</t>
        </is>
      </c>
      <c r="C42" s="13" t="inlineStr">
        <is>
          <t>北海道河東郡音更町木野大通西7-1</t>
        </is>
      </c>
      <c r="D42" s="13" t="inlineStr">
        <is>
          <t>0155-31-2143</t>
        </is>
      </c>
      <c r="E42" s="1" t="inlineStr">
        <is>
          <t>ブロッコリー、大根、長ねぎ。</t>
        </is>
      </c>
      <c r="F42" s="1" t="inlineStr">
        <is>
          <t>鮮度が重要な野菜の収穫ピーク時における、確実な人員確保。</t>
        </is>
      </c>
      <c r="G42" s="1" t="inlineStr">
        <is>
          <t>語学教育による作業指示の正確な伝達をアピールし、収穫ロスを防ぐ高品質な労働力を提供。</t>
        </is>
      </c>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c r="AG42" s="1" t="inlineStr">
        <is>
          <t>BREXA CrossBorder</t>
        </is>
      </c>
      <c r="AH42" s="1" t="inlineStr">
        <is>
          <t>武田 悦郎</t>
        </is>
      </c>
      <c r="AI42" s="1" t="n"/>
      <c r="AJ42" s="1" t="n"/>
      <c r="AK42" s="1" t="n"/>
      <c r="AL42" s="1" t="n"/>
      <c r="AM42" s="1" t="n"/>
      <c r="AN42" s="1" t="n"/>
      <c r="AO42">
        <f>COUNTIFS(加電履歴!$F:$F,A42,加電履歴!$E:$E,"JAリスト")</f>
        <v/>
      </c>
      <c r="AP42" s="10">
        <f>IFERROR(IF(COUNTIFS(加電履歴!$F:$F,A42,加電履歴!$E:$E,"JAリスト")=0,"",MAXIFS(加電履歴!$B:$B,加電履歴!$F:$F,A42,加電履歴!$E:$E,"JAリスト")),"")</f>
        <v/>
      </c>
      <c r="AQ42">
        <f>IFERROR(IF(COUNTIFS(加電履歴!$F:$F,A42,加電履歴!$E:$E,"JAリスト")=0,"",INDEX(加電履歴!$I:$I,MATCH(1,(加電履歴!$F:$F=A42)*(加電履歴!$E:$E="JAリスト")*(加電履歴!$B:$B=MAXIFS(加電履歴!$B:$B,加電履歴!$F:$F,A42,加電履歴!$E:$E,"JAリスト")),0))),"")</f>
        <v/>
      </c>
    </row>
    <row r="43" ht="12.5" customHeight="1">
      <c r="A43" s="13" t="inlineStr">
        <is>
          <t>JA士幌町</t>
        </is>
      </c>
      <c r="B43" s="12" t="inlineStr">
        <is>
          <t>https://www.ja-shihoro.or.jp/</t>
        </is>
      </c>
      <c r="C43" s="13" t="inlineStr">
        <is>
          <t>北海道河東郡士幌町字士幌西2線159番地</t>
        </is>
      </c>
      <c r="D43" s="13" t="inlineStr">
        <is>
          <t>01564-5-2311</t>
        </is>
      </c>
      <c r="E43" s="1" t="inlineStr">
        <is>
          <t>じゃがいも、肉牛、酪農。直営加工施設多数。</t>
        </is>
      </c>
      <c r="F43" s="1" t="inlineStr">
        <is>
          <t>JA直営工場があり、農場だけでなく加工工場での人員不足も深刻。</t>
        </is>
      </c>
      <c r="G43" s="1" t="inlineStr">
        <is>
          <t>農業と飲食料品製造業の双方の特定技能に対応できる点をアピールし、完全成果報酬で提案。</t>
        </is>
      </c>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c r="AG43" s="1" t="inlineStr">
        <is>
          <t>BREXA CrossBorder</t>
        </is>
      </c>
      <c r="AH43" s="1" t="inlineStr">
        <is>
          <t>武田 悦郎</t>
        </is>
      </c>
      <c r="AI43" s="1" t="n"/>
      <c r="AJ43" s="1" t="n"/>
      <c r="AK43" s="1" t="n"/>
      <c r="AL43" s="1" t="n"/>
      <c r="AM43" s="1" t="n"/>
      <c r="AN43" s="1" t="n"/>
      <c r="AO43">
        <f>COUNTIFS(加電履歴!$F:$F,A43,加電履歴!$E:$E,"JAリスト")</f>
        <v/>
      </c>
      <c r="AP43" s="10">
        <f>IFERROR(IF(COUNTIFS(加電履歴!$F:$F,A43,加電履歴!$E:$E,"JAリスト")=0,"",MAXIFS(加電履歴!$B:$B,加電履歴!$F:$F,A43,加電履歴!$E:$E,"JAリスト")),"")</f>
        <v/>
      </c>
      <c r="AQ43">
        <f>IFERROR(IF(COUNTIFS(加電履歴!$F:$F,A43,加電履歴!$E:$E,"JAリスト")=0,"",INDEX(加電履歴!$I:$I,MATCH(1,(加電履歴!$F:$F=A43)*(加電履歴!$E:$E="JAリスト")*(加電履歴!$B:$B=MAXIFS(加電履歴!$B:$B,加電履歴!$F:$F,A43,加電履歴!$E:$E,"JAリスト")),0))),"")</f>
        <v/>
      </c>
    </row>
    <row r="44" ht="12.5" customHeight="1">
      <c r="A44" s="13" t="inlineStr">
        <is>
          <t>JA上士幌町</t>
        </is>
      </c>
      <c r="B44" s="12" t="inlineStr">
        <is>
          <t>https://ja-kamishihoro.or.jp/</t>
        </is>
      </c>
      <c r="C44" s="13" t="inlineStr">
        <is>
          <t>北海道河東郡上士幌町字上士幌東2線238 (〒080-1493)</t>
        </is>
      </c>
      <c r="D44" s="13" t="inlineStr">
        <is>
          <t>01564-2-2131</t>
        </is>
      </c>
      <c r="E44" s="1" t="inlineStr">
        <is>
          <t>酪農（ギガファーム多数）、畑作。</t>
        </is>
      </c>
      <c r="F44" s="1" t="inlineStr">
        <is>
          <t>1000頭規模のメガファームが多く、組織的な労務管理と専門的な人材が求められる。</t>
        </is>
      </c>
      <c r="G44" s="1" t="inlineStr">
        <is>
          <t>企業的農業経営を行う農場に対し、人材紹介から日本語教育までワンストップのHRサービスを提供。</t>
        </is>
      </c>
      <c r="H44" s="1" t="n"/>
      <c r="I44" s="1" t="n"/>
      <c r="J44" s="1" t="n"/>
      <c r="K44" s="1" t="n"/>
      <c r="L44" s="1" t="n"/>
      <c r="M44" s="1" t="n"/>
      <c r="N44" s="1" t="n"/>
      <c r="O44" s="1" t="n"/>
      <c r="P44" s="1" t="n"/>
      <c r="Q44" s="1" t="n"/>
      <c r="R44" s="1" t="n"/>
      <c r="S44" s="1" t="n"/>
      <c r="T44" s="1" t="n"/>
      <c r="U44" s="1" t="n"/>
      <c r="V44" s="1" t="n"/>
      <c r="W44" s="1" t="n"/>
      <c r="X44" s="1" t="n"/>
      <c r="Y44" s="1" t="n"/>
      <c r="Z44" s="1" t="n"/>
      <c r="AA44" s="1" t="n"/>
      <c r="AB44" s="1" t="n"/>
      <c r="AC44" s="1" t="n"/>
      <c r="AD44" s="1" t="n"/>
      <c r="AE44" s="1" t="n"/>
      <c r="AF44" s="1" t="n"/>
      <c r="AG44" s="1" t="inlineStr">
        <is>
          <t>BREXA CrossBorder</t>
        </is>
      </c>
      <c r="AH44" s="1" t="inlineStr">
        <is>
          <t>武田 悦郎</t>
        </is>
      </c>
      <c r="AI44" s="1" t="n"/>
      <c r="AJ44" s="1" t="n"/>
      <c r="AK44" s="1" t="n"/>
      <c r="AL44" s="1" t="n"/>
      <c r="AM44" s="1" t="n"/>
      <c r="AN44" s="1" t="n"/>
      <c r="AO44">
        <f>COUNTIFS(加電履歴!$F:$F,A44,加電履歴!$E:$E,"JAリスト")</f>
        <v/>
      </c>
      <c r="AP44" s="10">
        <f>IFERROR(IF(COUNTIFS(加電履歴!$F:$F,A44,加電履歴!$E:$E,"JAリスト")=0,"",MAXIFS(加電履歴!$B:$B,加電履歴!$F:$F,A44,加電履歴!$E:$E,"JAリスト")),"")</f>
        <v/>
      </c>
      <c r="AQ44">
        <f>IFERROR(IF(COUNTIFS(加電履歴!$F:$F,A44,加電履歴!$E:$E,"JAリスト")=0,"",INDEX(加電履歴!$I:$I,MATCH(1,(加電履歴!$F:$F=A44)*(加電履歴!$E:$E="JAリスト")*(加電履歴!$B:$B=MAXIFS(加電履歴!$B:$B,加電履歴!$F:$F,A44,加電履歴!$E:$E,"JAリスト")),0))),"")</f>
        <v/>
      </c>
    </row>
    <row r="45" ht="12.5" customHeight="1">
      <c r="A45" s="13" t="inlineStr">
        <is>
          <t>JA鹿追町</t>
        </is>
      </c>
      <c r="B45" s="12" t="inlineStr">
        <is>
          <t>https://www.ja-shikaoi.com/</t>
        </is>
      </c>
      <c r="C45" s="13" t="inlineStr">
        <is>
          <t>北海道河東郡鹿追町新町4丁目51番地 (〒081-0293)</t>
        </is>
      </c>
      <c r="D45" s="13" t="inlineStr">
        <is>
          <t>0156-66-2131</t>
        </is>
      </c>
      <c r="E45" s="1" t="inlineStr">
        <is>
          <t>酪農、てんさい。バイオガスプラント推進。</t>
        </is>
      </c>
      <c r="F45" s="1" t="inlineStr">
        <is>
          <t>環境保全型農業を進める中で、取り組みを理解し真面目に働く人材が必要。</t>
        </is>
      </c>
      <c r="G45" s="1" t="inlineStr">
        <is>
          <t>リスクのない成果報酬型をフックに、生活サポートや異文化理解講座を通じた高い定着率をアピール。</t>
        </is>
      </c>
      <c r="H45" s="1" t="n"/>
      <c r="I45" s="1" t="n"/>
      <c r="J45" s="1" t="n"/>
      <c r="K45" s="1" t="n"/>
      <c r="L45" s="1" t="n"/>
      <c r="M45" s="1" t="n"/>
      <c r="N45" s="1" t="n"/>
      <c r="O45" s="1" t="n"/>
      <c r="P45" s="1" t="n"/>
      <c r="Q45" s="1" t="n"/>
      <c r="R45" s="1" t="n"/>
      <c r="S45" s="1" t="n"/>
      <c r="T45" s="1" t="n"/>
      <c r="U45" s="1" t="n"/>
      <c r="V45" s="1" t="n"/>
      <c r="W45" s="1" t="n"/>
      <c r="X45" s="1" t="n"/>
      <c r="Y45" s="1" t="n"/>
      <c r="Z45" s="1" t="n"/>
      <c r="AA45" s="1" t="n"/>
      <c r="AB45" s="1" t="n"/>
      <c r="AC45" s="1" t="n"/>
      <c r="AD45" s="1" t="n"/>
      <c r="AE45" s="1" t="n"/>
      <c r="AF45" s="1" t="n"/>
      <c r="AG45" s="1" t="inlineStr">
        <is>
          <t>BREXA CrossBorder</t>
        </is>
      </c>
      <c r="AH45" s="1" t="inlineStr">
        <is>
          <t>武田 悦郎</t>
        </is>
      </c>
      <c r="AI45" s="1" t="n"/>
      <c r="AJ45" s="1" t="n"/>
      <c r="AK45" s="1" t="n"/>
      <c r="AL45" s="1" t="n"/>
      <c r="AM45" s="1" t="n"/>
      <c r="AN45" s="1" t="n"/>
      <c r="AO45">
        <f>COUNTIFS(加電履歴!$F:$F,A45,加電履歴!$E:$E,"JAリスト")</f>
        <v/>
      </c>
      <c r="AP45" s="10">
        <f>IFERROR(IF(COUNTIFS(加電履歴!$F:$F,A45,加電履歴!$E:$E,"JAリスト")=0,"",MAXIFS(加電履歴!$B:$B,加電履歴!$F:$F,A45,加電履歴!$E:$E,"JAリスト")),"")</f>
        <v/>
      </c>
      <c r="AQ45">
        <f>IFERROR(IF(COUNTIFS(加電履歴!$F:$F,A45,加電履歴!$E:$E,"JAリスト")=0,"",INDEX(加電履歴!$I:$I,MATCH(1,(加電履歴!$F:$F=A45)*(加電履歴!$E:$E="JAリスト")*(加電履歴!$B:$B=MAXIFS(加電履歴!$B:$B,加電履歴!$F:$F,A45,加電履歴!$E:$E,"JAリスト")),0))),"")</f>
        <v/>
      </c>
    </row>
    <row r="46" ht="12.5" customHeight="1">
      <c r="A46" s="13" t="inlineStr">
        <is>
          <t>JA新得町</t>
        </is>
      </c>
      <c r="B46" s="12" t="inlineStr">
        <is>
          <t>https://www.ja-shintoku.or.jp/</t>
        </is>
      </c>
      <c r="C46" s="13" t="inlineStr">
        <is>
          <t>北海道上川郡新得町1条南3丁目1</t>
        </is>
      </c>
      <c r="D46" s="13" t="inlineStr">
        <is>
          <t>0156-64-5021</t>
        </is>
      </c>
      <c r="E46" s="1" t="inlineStr">
        <is>
          <t>そば、酪農、肉牛。</t>
        </is>
      </c>
      <c r="F46" s="1" t="inlineStr">
        <is>
          <t>そばの収穫・加工や、酪農での年間を通じた労働力不足。</t>
        </is>
      </c>
      <c r="G46" s="1" t="inlineStr">
        <is>
          <t>語学教育のバックグラウンドを活かし、地域とのトラブルを防ぐための事前教育の徹底を強みとする。</t>
        </is>
      </c>
      <c r="H46" s="1" t="n"/>
      <c r="I46" s="1" t="n"/>
      <c r="J46" s="1" t="n"/>
      <c r="K46" s="1" t="n"/>
      <c r="L46" s="1" t="n"/>
      <c r="M46" s="1" t="n"/>
      <c r="N46" s="1" t="n"/>
      <c r="O46" s="1" t="n"/>
      <c r="P46" s="1" t="n"/>
      <c r="Q46" s="1" t="n"/>
      <c r="R46" s="1" t="n"/>
      <c r="S46" s="1" t="n"/>
      <c r="T46" s="1" t="n"/>
      <c r="U46" s="1" t="n"/>
      <c r="V46" s="1" t="n"/>
      <c r="W46" s="1" t="n"/>
      <c r="X46" s="1" t="n"/>
      <c r="Y46" s="1" t="n"/>
      <c r="Z46" s="1" t="n"/>
      <c r="AA46" s="1" t="n"/>
      <c r="AB46" s="1" t="n"/>
      <c r="AC46" s="1" t="n"/>
      <c r="AD46" s="1" t="n"/>
      <c r="AE46" s="1" t="n"/>
      <c r="AF46" s="1" t="n"/>
      <c r="AG46" s="1" t="inlineStr">
        <is>
          <t>BREXA CrossBorder</t>
        </is>
      </c>
      <c r="AH46" s="1" t="inlineStr">
        <is>
          <t>武田 悦郎</t>
        </is>
      </c>
      <c r="AI46" s="1" t="n"/>
      <c r="AJ46" s="1" t="n"/>
      <c r="AK46" s="1" t="n"/>
      <c r="AL46" s="1" t="n"/>
      <c r="AM46" s="1" t="n"/>
      <c r="AN46" s="1" t="n"/>
      <c r="AO46">
        <f>COUNTIFS(加電履歴!$F:$F,A46,加電履歴!$E:$E,"JAリスト")</f>
        <v/>
      </c>
      <c r="AP46" s="10">
        <f>IFERROR(IF(COUNTIFS(加電履歴!$F:$F,A46,加電履歴!$E:$E,"JAリスト")=0,"",MAXIFS(加電履歴!$B:$B,加電履歴!$F:$F,A46,加電履歴!$E:$E,"JAリスト")),"")</f>
        <v/>
      </c>
      <c r="AQ46">
        <f>IFERROR(IF(COUNTIFS(加電履歴!$F:$F,A46,加電履歴!$E:$E,"JAリスト")=0,"",INDEX(加電履歴!$I:$I,MATCH(1,(加電履歴!$F:$F=A46)*(加電履歴!$E:$E="JAリスト")*(加電履歴!$B:$B=MAXIFS(加電履歴!$B:$B,加電履歴!$F:$F,A46,加電履歴!$E:$E,"JAリスト")),0))),"")</f>
        <v/>
      </c>
    </row>
    <row r="47" ht="12.5" customHeight="1">
      <c r="A47" s="13" t="inlineStr">
        <is>
          <t>JA阿寒</t>
        </is>
      </c>
      <c r="B47" s="12" t="inlineStr">
        <is>
          <t>http://www.ja-akan.or.jp/</t>
        </is>
      </c>
      <c r="C47" s="13" t="inlineStr">
        <is>
          <t>北海道釧路市阿寒町北新町1-4-1 (〒085-0216)</t>
        </is>
      </c>
      <c r="D47" s="13" t="inlineStr">
        <is>
          <t>0154-66-3211</t>
        </is>
      </c>
      <c r="E47" s="1" t="inlineStr">
        <is>
          <t>酪農、肉牛、エゾシカ肉加工。</t>
        </is>
      </c>
      <c r="F47" s="1" t="inlineStr">
        <is>
          <t>大規模酪農地帯であり、搾乳作業など年間を通じて安定した人員が必要。</t>
        </is>
      </c>
      <c r="G47" s="1" t="inlineStr">
        <is>
          <t>補助金採択を条件とすることで、初期費用に悩む酪農家へのアプローチを容易にする。</t>
        </is>
      </c>
      <c r="H47" s="1" t="n"/>
      <c r="I47" s="1" t="n"/>
      <c r="J47" s="1" t="n"/>
      <c r="K47" s="1" t="n"/>
      <c r="L47" s="1" t="n"/>
      <c r="M47" s="1" t="n"/>
      <c r="N47" s="1" t="n"/>
      <c r="O47" s="1" t="n"/>
      <c r="P47" s="1" t="n"/>
      <c r="Q47" s="1" t="n"/>
      <c r="R47" s="1" t="n"/>
      <c r="S47" s="1" t="n"/>
      <c r="T47" s="1" t="n"/>
      <c r="U47" s="1" t="n"/>
      <c r="V47" s="1" t="n"/>
      <c r="W47" s="1" t="n"/>
      <c r="X47" s="1" t="n"/>
      <c r="Y47" s="1" t="n"/>
      <c r="Z47" s="1" t="n"/>
      <c r="AA47" s="1" t="n"/>
      <c r="AB47" s="1" t="n"/>
      <c r="AC47" s="1" t="n"/>
      <c r="AD47" s="1" t="n"/>
      <c r="AE47" s="1" t="n"/>
      <c r="AF47" s="1" t="n"/>
      <c r="AG47" s="1" t="inlineStr">
        <is>
          <t>BREXA CrossBorder</t>
        </is>
      </c>
      <c r="AH47" s="1" t="inlineStr">
        <is>
          <t>武田 悦郎</t>
        </is>
      </c>
      <c r="AI47" s="1" t="n"/>
      <c r="AJ47" s="1" t="n"/>
      <c r="AK47" s="1" t="n"/>
      <c r="AL47" s="1" t="n"/>
      <c r="AM47" s="1" t="n"/>
      <c r="AN47" s="1" t="n"/>
      <c r="AO47">
        <f>COUNTIFS(加電履歴!$F:$F,A47,加電履歴!$E:$E,"JAリスト")</f>
        <v/>
      </c>
      <c r="AP47" s="10">
        <f>IFERROR(IF(COUNTIFS(加電履歴!$F:$F,A47,加電履歴!$E:$E,"JAリスト")=0,"",MAXIFS(加電履歴!$B:$B,加電履歴!$F:$F,A47,加電履歴!$E:$E,"JAリスト")),"")</f>
        <v/>
      </c>
      <c r="AQ47">
        <f>IFERROR(IF(COUNTIFS(加電履歴!$F:$F,A47,加電履歴!$E:$E,"JAリスト")=0,"",INDEX(加電履歴!$I:$I,MATCH(1,(加電履歴!$F:$F=A47)*(加電履歴!$E:$E="JAリスト")*(加電履歴!$B:$B=MAXIFS(加電履歴!$B:$B,加電履歴!$F:$F,A47,加電履歴!$E:$E,"JAリスト")),0))),"")</f>
        <v/>
      </c>
    </row>
    <row r="48" ht="12.5" customHeight="1">
      <c r="A48" s="13" t="inlineStr">
        <is>
          <t>JAしべちゃ</t>
        </is>
      </c>
      <c r="B48" s="12" t="inlineStr">
        <is>
          <t>https://www.sip.jp/~ja-shibecya/</t>
        </is>
      </c>
      <c r="C48" s="13" t="inlineStr">
        <is>
          <t>北海道川上郡標茶町開運9丁目6番地 (〒088-2311)</t>
        </is>
      </c>
      <c r="D48" s="13" t="inlineStr">
        <is>
          <t>015-485-2103</t>
        </is>
      </c>
      <c r="E48" s="1" t="inlineStr">
        <is>
          <t>酪農（広大な放牧地）、肉牛。</t>
        </is>
      </c>
      <c r="F48" s="1" t="inlineStr">
        <is>
          <t>広大な面積を誇るため、孤立しがちな環境における外国人材のメンタルケアが課題。</t>
        </is>
      </c>
      <c r="G48" s="1" t="inlineStr">
        <is>
          <t>定期的な訪問や「やさしい日本語講座」を通じた細やかなメンタルサポート体制を強調する。</t>
        </is>
      </c>
      <c r="H48" s="1" t="n"/>
      <c r="I48" s="1" t="n"/>
      <c r="J48" s="1" t="n"/>
      <c r="K48" s="1" t="n"/>
      <c r="L48" s="1" t="n"/>
      <c r="M48" s="1" t="n"/>
      <c r="N48" s="1" t="n"/>
      <c r="O48" s="1" t="n"/>
      <c r="P48" s="1" t="n"/>
      <c r="Q48" s="1" t="n"/>
      <c r="R48" s="1" t="n"/>
      <c r="S48" s="1" t="n"/>
      <c r="T48" s="1" t="n"/>
      <c r="U48" s="1" t="n"/>
      <c r="V48" s="1" t="n"/>
      <c r="W48" s="1" t="n"/>
      <c r="X48" s="1" t="n"/>
      <c r="Y48" s="1" t="n"/>
      <c r="Z48" s="1" t="n"/>
      <c r="AA48" s="1" t="n"/>
      <c r="AB48" s="1" t="n"/>
      <c r="AC48" s="1" t="n"/>
      <c r="AD48" s="1" t="n"/>
      <c r="AE48" s="1" t="n"/>
      <c r="AF48" s="1" t="n"/>
      <c r="AG48" s="1" t="inlineStr">
        <is>
          <t>BREXA CrossBorder</t>
        </is>
      </c>
      <c r="AH48" s="1" t="inlineStr">
        <is>
          <t>武田 悦郎</t>
        </is>
      </c>
      <c r="AI48" s="1" t="n"/>
      <c r="AJ48" s="1" t="n"/>
      <c r="AK48" s="1" t="n"/>
      <c r="AL48" s="1" t="n"/>
      <c r="AM48" s="1" t="n"/>
      <c r="AN48" s="1" t="n"/>
      <c r="AO48">
        <f>COUNTIFS(加電履歴!$F:$F,A48,加電履歴!$E:$E,"JAリスト")</f>
        <v/>
      </c>
      <c r="AP48" s="10">
        <f>IFERROR(IF(COUNTIFS(加電履歴!$F:$F,A48,加電履歴!$E:$E,"JAリスト")=0,"",MAXIFS(加電履歴!$B:$B,加電履歴!$F:$F,A48,加電履歴!$E:$E,"JAリスト")),"")</f>
        <v/>
      </c>
      <c r="AQ48">
        <f>IFERROR(IF(COUNTIFS(加電履歴!$F:$F,A48,加電履歴!$E:$E,"JAリスト")=0,"",INDEX(加電履歴!$I:$I,MATCH(1,(加電履歴!$F:$F=A48)*(加電履歴!$E:$E="JAリスト")*(加電履歴!$B:$B=MAXIFS(加電履歴!$B:$B,加電履歴!$F:$F,A48,加電履歴!$E:$E,"JAリスト")),0))),"")</f>
        <v/>
      </c>
    </row>
    <row r="49" ht="12.5" customHeight="1">
      <c r="A49" s="13" t="inlineStr">
        <is>
          <t>JA道東あさひ</t>
        </is>
      </c>
      <c r="B49" s="12" t="inlineStr">
        <is>
          <t>https://www.ja-doutouasahi.or.jp/</t>
        </is>
      </c>
      <c r="C49" s="13" t="inlineStr">
        <is>
          <t>北海道野付郡別海町別海緑町116番地9 (〒086-0214)</t>
        </is>
      </c>
      <c r="D49" s="13" t="inlineStr">
        <is>
          <t>0153-75-2201</t>
        </is>
      </c>
      <c r="E49" s="1" t="inlineStr">
        <is>
          <t>生乳生産量日本一の超大規模酪農。</t>
        </is>
      </c>
      <c r="F49" s="1" t="inlineStr">
        <is>
          <t>ヘルパー不足・後継者不足により、外国人材なしでは産業維持が不可能。</t>
        </is>
      </c>
      <c r="G49" s="1" t="inlineStr">
        <is>
          <t>完全成果報酬型により、JAを通じ管内の全酪農家へリスクなしで一斉アプローチできる設計を提案。</t>
        </is>
      </c>
      <c r="H49" s="1" t="n"/>
      <c r="I49" s="1" t="n"/>
      <c r="J49" s="1" t="n"/>
      <c r="K49" s="1" t="n"/>
      <c r="L49" s="1" t="n"/>
      <c r="M49" s="1" t="n"/>
      <c r="N49" s="1" t="n"/>
      <c r="O49" s="1" t="n"/>
      <c r="P49" s="1" t="n"/>
      <c r="Q49" s="1" t="n"/>
      <c r="R49" s="1" t="n"/>
      <c r="S49" s="1" t="n"/>
      <c r="T49" s="1" t="n"/>
      <c r="U49" s="1" t="n"/>
      <c r="V49" s="1" t="n"/>
      <c r="W49" s="1" t="n"/>
      <c r="X49" s="1" t="n"/>
      <c r="Y49" s="1" t="n"/>
      <c r="Z49" s="1" t="n"/>
      <c r="AA49" s="1" t="n"/>
      <c r="AB49" s="1" t="n"/>
      <c r="AC49" s="1" t="n"/>
      <c r="AD49" s="1" t="n"/>
      <c r="AE49" s="1" t="n"/>
      <c r="AF49" s="1" t="n"/>
      <c r="AG49" s="1" t="inlineStr">
        <is>
          <t>BREXA CrossBorder</t>
        </is>
      </c>
      <c r="AH49" s="1" t="inlineStr">
        <is>
          <t>武田 悦郎</t>
        </is>
      </c>
      <c r="AI49" s="1" t="n"/>
      <c r="AJ49" s="1" t="n"/>
      <c r="AK49" s="1" t="n"/>
      <c r="AL49" s="1" t="n"/>
      <c r="AM49" s="1" t="n"/>
      <c r="AN49" s="1" t="n"/>
      <c r="AO49">
        <f>COUNTIFS(加電履歴!$F:$F,A49,加電履歴!$E:$E,"JAリスト")</f>
        <v/>
      </c>
      <c r="AP49" s="10">
        <f>IFERROR(IF(COUNTIFS(加電履歴!$F:$F,A49,加電履歴!$E:$E,"JAリスト")=0,"",MAXIFS(加電履歴!$B:$B,加電履歴!$F:$F,A49,加電履歴!$E:$E,"JAリスト")),"")</f>
        <v/>
      </c>
      <c r="AQ49">
        <f>IFERROR(IF(COUNTIFS(加電履歴!$F:$F,A49,加電履歴!$E:$E,"JAリスト")=0,"",INDEX(加電履歴!$I:$I,MATCH(1,(加電履歴!$F:$F=A49)*(加電履歴!$E:$E="JAリスト")*(加電履歴!$B:$B=MAXIFS(加電履歴!$B:$B,加電履歴!$F:$F,A49,加電履歴!$E:$E,"JAリスト")),0))),"")</f>
        <v/>
      </c>
    </row>
    <row r="50" ht="12.5" customHeight="1">
      <c r="A50" s="13" t="inlineStr">
        <is>
          <t>JAなかしゅんべつ (中春別農業協同組合)</t>
        </is>
      </c>
      <c r="B50" s="12" t="inlineStr">
        <is>
          <t>http://ja-nks.jp/</t>
        </is>
      </c>
      <c r="C50" s="13" t="inlineStr">
        <is>
          <t>北海道野付郡別海町中春別南町3 (〒086-0652)</t>
        </is>
      </c>
      <c r="D50" s="13" t="inlineStr">
        <is>
          <t>01537-6-2311</t>
        </is>
      </c>
      <c r="E50" s="1" t="inlineStr">
        <is>
          <t>酪農専業地帯。</t>
        </is>
      </c>
      <c r="F50" s="1" t="inlineStr">
        <is>
          <t>家族経営から法人化への移行期にあり、労務管理や外国人材の教育ノウハウがない。</t>
        </is>
      </c>
      <c r="G50" s="1" t="inlineStr">
        <is>
          <t>人材紹介とセットで提供する語学・コミュニケーション教育の専門性を提示し、教育コスト削減をアピール。</t>
        </is>
      </c>
      <c r="H50" s="1" t="n"/>
      <c r="I50" s="1" t="n"/>
      <c r="J50" s="1" t="n"/>
      <c r="K50" s="1" t="n"/>
      <c r="L50" s="1" t="n"/>
      <c r="M50" s="1" t="n"/>
      <c r="N50" s="1" t="n"/>
      <c r="O50" s="1" t="n"/>
      <c r="P50" s="1" t="n"/>
      <c r="Q50" s="1" t="n"/>
      <c r="R50" s="1" t="n"/>
      <c r="S50" s="1" t="n"/>
      <c r="T50" s="1" t="n"/>
      <c r="U50" s="1" t="n"/>
      <c r="V50" s="1" t="n"/>
      <c r="W50" s="1" t="n"/>
      <c r="X50" s="1" t="n"/>
      <c r="Y50" s="1" t="n"/>
      <c r="Z50" s="1" t="n"/>
      <c r="AA50" s="1" t="n"/>
      <c r="AB50" s="1" t="n"/>
      <c r="AC50" s="1" t="n"/>
      <c r="AD50" s="1" t="n"/>
      <c r="AE50" s="1" t="n"/>
      <c r="AF50" s="1" t="n"/>
      <c r="AG50" s="1" t="inlineStr">
        <is>
          <t>BREXA CrossBorder</t>
        </is>
      </c>
      <c r="AH50" s="1" t="inlineStr">
        <is>
          <t>武田 悦郎</t>
        </is>
      </c>
      <c r="AI50" s="1" t="n"/>
      <c r="AJ50" s="1" t="n"/>
      <c r="AK50" s="1" t="n"/>
      <c r="AL50" s="1" t="n"/>
      <c r="AM50" s="1" t="n"/>
      <c r="AN50" s="1" t="n"/>
      <c r="AO50">
        <f>COUNTIFS(加電履歴!$F:$F,A50,加電履歴!$E:$E,"JAリスト")</f>
        <v/>
      </c>
      <c r="AP50" s="10">
        <f>IFERROR(IF(COUNTIFS(加電履歴!$F:$F,A50,加電履歴!$E:$E,"JAリスト")=0,"",MAXIFS(加電履歴!$B:$B,加電履歴!$F:$F,A50,加電履歴!$E:$E,"JAリスト")),"")</f>
        <v/>
      </c>
      <c r="AQ50">
        <f>IFERROR(IF(COUNTIFS(加電履歴!$F:$F,A50,加電履歴!$E:$E,"JAリスト")=0,"",INDEX(加電履歴!$I:$I,MATCH(1,(加電履歴!$F:$F=A50)*(加電履歴!$E:$E="JAリスト")*(加電履歴!$B:$B=MAXIFS(加電履歴!$B:$B,加電履歴!$F:$F,A50,加電履歴!$E:$E,"JAリスト")),0))),"")</f>
        <v/>
      </c>
    </row>
    <row r="51" ht="12.5" customHeight="1">
      <c r="A51" s="13" t="inlineStr">
        <is>
          <t>JA標津</t>
        </is>
      </c>
      <c r="B51" s="12" t="inlineStr">
        <is>
          <t>https://www.ja-shibetsu.com/</t>
        </is>
      </c>
      <c r="C51" s="13" t="inlineStr">
        <is>
          <t>北海道標津郡標津町字川北基線西2番地</t>
        </is>
      </c>
      <c r="D51" s="13" t="inlineStr">
        <is>
          <t>0153-85-2121</t>
        </is>
      </c>
      <c r="E51" s="1" t="inlineStr">
        <is>
          <t>酪農中心。</t>
        </is>
      </c>
      <c r="F51" s="1" t="inlineStr">
        <is>
          <t>根室エリア特有の気候や生活環境への適応が、外国人材定着の鍵となる。</t>
        </is>
      </c>
      <c r="G51" s="1" t="inlineStr">
        <is>
          <t>入国前のオリエンテーションと、語学教育ノウハウを活かした現地での手厚い生活支援を約束する。</t>
        </is>
      </c>
      <c r="H51" s="1" t="n"/>
      <c r="I51" s="1" t="n"/>
      <c r="J51" s="1" t="n"/>
      <c r="K51" s="1" t="n"/>
      <c r="L51" s="1" t="n"/>
      <c r="M51" s="1" t="n"/>
      <c r="N51" s="1" t="n"/>
      <c r="O51" s="1" t="n"/>
      <c r="P51" s="1" t="n"/>
      <c r="Q51" s="1" t="n"/>
      <c r="R51" s="1" t="n"/>
      <c r="S51" s="1" t="n"/>
      <c r="T51" s="1" t="n"/>
      <c r="U51" s="1" t="n"/>
      <c r="V51" s="1" t="n"/>
      <c r="W51" s="1" t="n"/>
      <c r="X51" s="1" t="n"/>
      <c r="Y51" s="1" t="n"/>
      <c r="Z51" s="1" t="n"/>
      <c r="AA51" s="1" t="n"/>
      <c r="AB51" s="1" t="n"/>
      <c r="AC51" s="1" t="n"/>
      <c r="AD51" s="1" t="n"/>
      <c r="AE51" s="1" t="n"/>
      <c r="AF51" s="1" t="n"/>
      <c r="AG51" s="1" t="inlineStr">
        <is>
          <t>BREXA CrossBorder</t>
        </is>
      </c>
      <c r="AH51" s="1" t="inlineStr">
        <is>
          <t>武田 悦郎</t>
        </is>
      </c>
      <c r="AI51" s="1" t="n"/>
      <c r="AJ51" s="1" t="n"/>
      <c r="AK51" s="1" t="n"/>
      <c r="AL51" s="1" t="n"/>
      <c r="AM51" s="1" t="n"/>
      <c r="AN51" s="1" t="n"/>
      <c r="AO51">
        <f>COUNTIFS(加電履歴!$F:$F,A51,加電履歴!$E:$E,"JAリスト")</f>
        <v/>
      </c>
      <c r="AP51" s="10">
        <f>IFERROR(IF(COUNTIFS(加電履歴!$F:$F,A51,加電履歴!$E:$E,"JAリスト")=0,"",MAXIFS(加電履歴!$B:$B,加電履歴!$F:$F,A51,加電履歴!$E:$E,"JAリスト")),"")</f>
        <v/>
      </c>
      <c r="AQ51">
        <f>IFERROR(IF(COUNTIFS(加電履歴!$F:$F,A51,加電履歴!$E:$E,"JAリスト")=0,"",INDEX(加電履歴!$I:$I,MATCH(1,(加電履歴!$F:$F=A51)*(加電履歴!$E:$E="JAリスト")*(加電履歴!$B:$B=MAXIFS(加電履歴!$B:$B,加電履歴!$F:$F,A51,加電履歴!$E:$E,"JAリスト")),0))),"")</f>
        <v/>
      </c>
    </row>
    <row r="52" ht="12.5" customHeight="1">
      <c r="A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c r="AA52" s="1" t="n"/>
      <c r="AB52" s="1" t="n"/>
      <c r="AC52" s="1" t="n"/>
      <c r="AD52" s="1" t="n"/>
      <c r="AE52" s="1" t="n"/>
      <c r="AF52" s="1" t="n"/>
      <c r="AG52" s="1" t="n"/>
      <c r="AH52" s="1" t="n"/>
      <c r="AI52" s="1" t="n"/>
      <c r="AJ52" s="1" t="n"/>
      <c r="AK52" s="1" t="n"/>
      <c r="AL52" s="1" t="n"/>
      <c r="AM52" s="1" t="n"/>
      <c r="AN52" s="1" t="n"/>
    </row>
    <row r="53" ht="12.5" customHeight="1">
      <c r="A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c r="AA53" s="1" t="n"/>
      <c r="AB53" s="1" t="n"/>
      <c r="AC53" s="1" t="n"/>
      <c r="AD53" s="1" t="n"/>
      <c r="AE53" s="1" t="n"/>
      <c r="AF53" s="1" t="n"/>
      <c r="AG53" s="1" t="n"/>
      <c r="AH53" s="1" t="n"/>
      <c r="AI53" s="1" t="n"/>
      <c r="AJ53" s="1" t="n"/>
      <c r="AK53" s="1" t="n"/>
      <c r="AL53" s="1" t="n"/>
      <c r="AM53" s="1" t="n"/>
      <c r="AN53" s="1" t="n"/>
    </row>
  </sheetData>
  <hyperlinks>
    <hyperlink xmlns:r="http://schemas.openxmlformats.org/officeDocument/2006/relationships" ref="B30" r:id="rId1"/>
    <hyperlink xmlns:r="http://schemas.openxmlformats.org/officeDocument/2006/relationships" ref="B31" r:id="rId2"/>
    <hyperlink xmlns:r="http://schemas.openxmlformats.org/officeDocument/2006/relationships" ref="B32" r:id="rId3"/>
    <hyperlink xmlns:r="http://schemas.openxmlformats.org/officeDocument/2006/relationships" ref="B33" r:id="rId4"/>
    <hyperlink xmlns:r="http://schemas.openxmlformats.org/officeDocument/2006/relationships" ref="B34" r:id="rId5"/>
    <hyperlink xmlns:r="http://schemas.openxmlformats.org/officeDocument/2006/relationships" ref="B35" r:id="rId6"/>
    <hyperlink xmlns:r="http://schemas.openxmlformats.org/officeDocument/2006/relationships" ref="B36" r:id="rId7"/>
    <hyperlink xmlns:r="http://schemas.openxmlformats.org/officeDocument/2006/relationships" ref="B37" r:id="rId8"/>
    <hyperlink xmlns:r="http://schemas.openxmlformats.org/officeDocument/2006/relationships" ref="B38" r:id="rId9"/>
    <hyperlink xmlns:r="http://schemas.openxmlformats.org/officeDocument/2006/relationships" ref="B39" r:id="rId10"/>
    <hyperlink xmlns:r="http://schemas.openxmlformats.org/officeDocument/2006/relationships" ref="B41" r:id="rId11"/>
    <hyperlink xmlns:r="http://schemas.openxmlformats.org/officeDocument/2006/relationships" ref="B42" r:id="rId12"/>
    <hyperlink xmlns:r="http://schemas.openxmlformats.org/officeDocument/2006/relationships" ref="B43" r:id="rId13"/>
    <hyperlink xmlns:r="http://schemas.openxmlformats.org/officeDocument/2006/relationships" ref="B44" r:id="rId14"/>
    <hyperlink xmlns:r="http://schemas.openxmlformats.org/officeDocument/2006/relationships" ref="B45" r:id="rId15"/>
    <hyperlink xmlns:r="http://schemas.openxmlformats.org/officeDocument/2006/relationships" ref="B46" r:id="rId16"/>
    <hyperlink xmlns:r="http://schemas.openxmlformats.org/officeDocument/2006/relationships" ref="B47" r:id="rId17"/>
    <hyperlink xmlns:r="http://schemas.openxmlformats.org/officeDocument/2006/relationships" ref="B48" r:id="rId18"/>
    <hyperlink xmlns:r="http://schemas.openxmlformats.org/officeDocument/2006/relationships" ref="B49" r:id="rId19"/>
    <hyperlink xmlns:r="http://schemas.openxmlformats.org/officeDocument/2006/relationships" ref="B50" r:id="rId20"/>
    <hyperlink xmlns:r="http://schemas.openxmlformats.org/officeDocument/2006/relationships" ref="B51" r:id="rId21"/>
  </hyperlinks>
  <pageMargins left="0.7" right="0.7" top="0.75" bottom="0.75" header="0.3" footer="0.3"/>
  <pageSetup orientation="portrait" paperSize="9"/>
  <tableParts count="1">
    <tablePart xmlns:r="http://schemas.openxmlformats.org/officeDocument/2006/relationships" r:id="rId22"/>
  </tableParts>
</worksheet>
</file>

<file path=xl/worksheets/sheet2.xml><?xml version="1.0" encoding="utf-8"?>
<worksheet xmlns="http://schemas.openxmlformats.org/spreadsheetml/2006/main">
  <sheetPr>
    <outlinePr summaryBelow="1" summaryRight="1"/>
    <pageSetUpPr/>
  </sheetPr>
  <dimension ref="A1:AS85"/>
  <sheetViews>
    <sheetView tabSelected="1" workbookViewId="0">
      <selection activeCell="F16" sqref="F16"/>
    </sheetView>
  </sheetViews>
  <sheetFormatPr baseColWidth="8" defaultColWidth="12.6328125" defaultRowHeight="12.5"/>
  <cols>
    <col width="6.453125" customWidth="1" min="1" max="1"/>
    <col width="24.08984375" customWidth="1" min="2" max="2"/>
    <col width="40" customWidth="1" min="3" max="3"/>
    <col width="31.81640625" customWidth="1" min="5" max="5"/>
    <col width="34.7265625" customWidth="1" min="6" max="6"/>
    <col width="63.36328125" customWidth="1" min="7" max="7"/>
    <col width="14" customWidth="1" min="43" max="43"/>
    <col width="14" customWidth="1" min="44" max="44"/>
    <col width="14" customWidth="1" min="45" max="45"/>
  </cols>
  <sheetData>
    <row r="1" ht="13" customFormat="1" customHeight="1" s="8">
      <c r="A1" s="7" t="inlineStr">
        <is>
          <t>エリア</t>
        </is>
      </c>
      <c r="B1" s="7" t="inlineStr">
        <is>
          <t>企業名</t>
        </is>
      </c>
      <c r="C1" s="7" t="inlineStr">
        <is>
          <t>ホームページ</t>
        </is>
      </c>
      <c r="D1" s="7" t="inlineStr">
        <is>
          <t>住所</t>
        </is>
      </c>
      <c r="E1" s="7" t="inlineStr">
        <is>
          <t>電話番号</t>
        </is>
      </c>
      <c r="F1" s="7" t="inlineStr">
        <is>
          <t>地域の農業特徴・特産品情報</t>
        </is>
      </c>
      <c r="G1" s="7" t="inlineStr">
        <is>
          <t>想定される課題・アプローチのポイント</t>
        </is>
      </c>
      <c r="H1" s="7" t="inlineStr">
        <is>
          <t>提案の切り口（自社サービス・強み）</t>
        </is>
      </c>
      <c r="I1" s="7" t="inlineStr">
        <is>
          <t>担当部署</t>
        </is>
      </c>
      <c r="J1" s="7" t="inlineStr">
        <is>
          <t>役職</t>
        </is>
      </c>
      <c r="K1" s="7" t="inlineStr">
        <is>
          <t>担当者</t>
        </is>
      </c>
      <c r="L1" s="7" t="inlineStr">
        <is>
          <t>活用状況</t>
        </is>
      </c>
      <c r="M1" s="7" t="inlineStr">
        <is>
          <t>実習人数</t>
        </is>
      </c>
      <c r="N1" s="7" t="inlineStr">
        <is>
          <t>実習_国籍</t>
        </is>
      </c>
      <c r="O1" s="7" t="inlineStr">
        <is>
          <t>特技人数</t>
        </is>
      </c>
      <c r="P1" s="7" t="inlineStr">
        <is>
          <t>特技_国籍</t>
        </is>
      </c>
      <c r="Q1" s="7" t="inlineStr">
        <is>
          <t>既存状況</t>
        </is>
      </c>
      <c r="R1" s="7" t="inlineStr">
        <is>
          <t>営業状況</t>
        </is>
      </c>
      <c r="S1" s="7" t="inlineStr">
        <is>
          <t>ステータス</t>
        </is>
      </c>
      <c r="T1" s="7" t="inlineStr">
        <is>
          <t>進捗</t>
        </is>
      </c>
      <c r="U1" s="7" t="inlineStr">
        <is>
          <t>初回訪問日</t>
        </is>
      </c>
      <c r="V1" s="7" t="inlineStr">
        <is>
          <t>最終コンタクト日</t>
        </is>
      </c>
      <c r="W1" s="7" t="inlineStr">
        <is>
          <t>最終経過日数</t>
        </is>
      </c>
      <c r="X1" s="7" t="inlineStr">
        <is>
          <t>訪問履歴</t>
        </is>
      </c>
      <c r="Y1" s="7" t="inlineStr">
        <is>
          <t>最終アクション（日付・結果/詳細）</t>
        </is>
      </c>
      <c r="Z1" s="7" t="inlineStr">
        <is>
          <t>日付</t>
        </is>
      </c>
      <c r="AA1" s="7" t="inlineStr">
        <is>
          <t>行動</t>
        </is>
      </c>
      <c r="AB1" s="7" t="inlineStr">
        <is>
          <t>次回アクション予定</t>
        </is>
      </c>
      <c r="AC1" s="7" t="inlineStr">
        <is>
          <t>予定日</t>
        </is>
      </c>
      <c r="AD1" s="7" t="inlineStr">
        <is>
          <t>連携元</t>
        </is>
      </c>
      <c r="AE1" s="7" t="inlineStr">
        <is>
          <t>連携元所属</t>
        </is>
      </c>
      <c r="AF1" s="7" t="inlineStr">
        <is>
          <t>連携者</t>
        </is>
      </c>
      <c r="AG1" s="7" t="inlineStr">
        <is>
          <t>連携先</t>
        </is>
      </c>
      <c r="AH1" s="7" t="inlineStr">
        <is>
          <t>担当所属</t>
        </is>
      </c>
      <c r="AI1" s="7" t="inlineStr">
        <is>
          <t>営業担当</t>
        </is>
      </c>
      <c r="AJ1" s="7" t="inlineStr">
        <is>
          <t>受注日</t>
        </is>
      </c>
      <c r="AK1" s="7" t="inlineStr">
        <is>
          <t>受注内容</t>
        </is>
      </c>
      <c r="AL1" s="7" t="inlineStr">
        <is>
          <t>配属予定日</t>
        </is>
      </c>
      <c r="AM1" s="7" t="inlineStr">
        <is>
          <t>受注_国籍</t>
        </is>
      </c>
      <c r="AN1" s="7" t="inlineStr">
        <is>
          <t>受注_人数</t>
        </is>
      </c>
      <c r="AO1" s="7" t="inlineStr">
        <is>
          <t>状況</t>
        </is>
      </c>
      <c r="AP1" s="7" t="n"/>
      <c r="AQ1" s="7" t="inlineStr">
        <is>
          <t>加電回数</t>
        </is>
      </c>
      <c r="AR1" s="7" t="inlineStr">
        <is>
          <t>最終加電日</t>
        </is>
      </c>
      <c r="AS1" s="7" t="inlineStr">
        <is>
          <t>最終結果</t>
        </is>
      </c>
    </row>
    <row r="2" ht="15.75" customHeight="1">
      <c r="A2" s="9" t="inlineStr">
        <is>
          <t>道央</t>
        </is>
      </c>
      <c r="B2" s="9" t="inlineStr">
        <is>
          <t>株式会社Kalm角山</t>
        </is>
      </c>
      <c r="D2" s="9" t="inlineStr">
        <is>
          <t>北海道江別市角山206</t>
        </is>
      </c>
      <c r="E2" s="9" t="inlineStr">
        <is>
          <t>011-383-2005</t>
        </is>
      </c>
      <c r="F2" s="9" t="inlineStr">
        <is>
          <t>都市型メガファーム/搾乳ロボット導入</t>
        </is>
      </c>
      <c r="G2" s="9" t="inlineStr">
        <is>
          <t>規模拡大に伴うオペレーター不足</t>
        </is>
      </c>
      <c r="H2" s="9" t="inlineStr">
        <is>
          <t>初期採用費用を抑え現場の即戦力となる特定技能人材をご提案</t>
        </is>
      </c>
      <c r="I2" s="9" t="inlineStr">
        <is>
          <t>経営企画部</t>
        </is>
      </c>
      <c r="J2" s="9" t="inlineStr">
        <is>
          <t>代表取締役</t>
        </is>
      </c>
      <c r="K2" s="9" t="inlineStr">
        <is>
          <t>川口谷 仁</t>
        </is>
      </c>
      <c r="L2" s="9" t="inlineStr">
        <is>
          <t>導入済</t>
        </is>
      </c>
      <c r="Q2" s="9" t="inlineStr">
        <is>
          <t>未開拓</t>
        </is>
      </c>
      <c r="R2" s="9" t="inlineStr">
        <is>
          <t>ターゲット</t>
        </is>
      </c>
      <c r="S2" s="9" t="inlineStr">
        <is>
          <t>リストアップ</t>
        </is>
      </c>
      <c r="AH2" s="9" t="inlineStr">
        <is>
          <t>営業推進部</t>
        </is>
      </c>
      <c r="AI2" s="9" t="inlineStr">
        <is>
          <t>武田 悦郎</t>
        </is>
      </c>
      <c r="AP2" s="9" t="inlineStr">
        <is>
          <t>未定</t>
        </is>
      </c>
      <c r="AQ2">
        <f>COUNTIFS(加電履歴!$F:$F,B2,加電履歴!$E:$E,"畜種農業")</f>
        <v/>
      </c>
      <c r="AR2" s="10">
        <f>IFERROR(IF(COUNTIFS(加電履歴!$F:$F,B2,加電履歴!$E:$E,"畜種農業")=0,"",MAXIFS(加電履歴!$B:$B,加電履歴!$F:$F,B2,加電履歴!$E:$E,"畜種農業")),"")</f>
        <v/>
      </c>
      <c r="AS2">
        <f>IFERROR(IF(COUNTIFS(加電履歴!$F:$F,B2,加電履歴!$E:$E,"畜種農業")=0,"",INDEX(加電履歴!$I:$I,MATCH(1,(加電履歴!$F:$F=B2)*(加電履歴!$E:$E="畜種農業")*(加電履歴!$B:$B=MAXIFS(加電履歴!$B:$B,加電履歴!$F:$F,B2,加電履歴!$E:$E,"畜種農業")),0))),"")</f>
        <v/>
      </c>
    </row>
    <row r="3" ht="15.75" customHeight="1">
      <c r="A3" s="9" t="inlineStr">
        <is>
          <t>道央</t>
        </is>
      </c>
      <c r="B3" s="9" t="inlineStr">
        <is>
          <t>株式会社町村農場</t>
        </is>
      </c>
      <c r="D3" s="9" t="inlineStr">
        <is>
          <t>北海道江別市篠津183番地</t>
        </is>
      </c>
      <c r="E3" s="9" t="inlineStr">
        <is>
          <t>011-382-2155</t>
        </is>
      </c>
      <c r="F3" s="9" t="inlineStr">
        <is>
          <t>自社ブランド乳製品の製造直販</t>
        </is>
      </c>
      <c r="G3" s="9" t="inlineStr">
        <is>
          <t>農場作業と加工販売の兼務による負担</t>
        </is>
      </c>
      <c r="H3" s="9" t="inlineStr">
        <is>
          <t>採用コストゼロで即戦力を配置し既存社員を販売業務へシフトさせる提案</t>
        </is>
      </c>
      <c r="I3" s="9" t="inlineStr">
        <is>
          <t>経営陣</t>
        </is>
      </c>
      <c r="J3" s="9" t="inlineStr">
        <is>
          <t>代表取締役</t>
        </is>
      </c>
      <c r="K3" s="9" t="inlineStr">
        <is>
          <t>町村 均</t>
        </is>
      </c>
      <c r="L3" s="9" t="inlineStr">
        <is>
          <t>未確認</t>
        </is>
      </c>
      <c r="Q3" s="9" t="inlineStr">
        <is>
          <t>未開拓</t>
        </is>
      </c>
      <c r="R3" s="9" t="inlineStr">
        <is>
          <t>ターゲット</t>
        </is>
      </c>
      <c r="S3" s="9" t="inlineStr">
        <is>
          <t>リストアップ</t>
        </is>
      </c>
      <c r="AH3" s="9" t="inlineStr">
        <is>
          <t>営業推進部</t>
        </is>
      </c>
      <c r="AI3" s="9" t="inlineStr">
        <is>
          <t>武田 悦郎</t>
        </is>
      </c>
      <c r="AP3" s="9" t="inlineStr">
        <is>
          <t>未定</t>
        </is>
      </c>
      <c r="AQ3">
        <f>COUNTIFS(加電履歴!$F:$F,B3,加電履歴!$E:$E,"畜種農業")</f>
        <v/>
      </c>
      <c r="AR3" s="10">
        <f>IFERROR(IF(COUNTIFS(加電履歴!$F:$F,B3,加電履歴!$E:$E,"畜種農業")=0,"",MAXIFS(加電履歴!$B:$B,加電履歴!$F:$F,B3,加電履歴!$E:$E,"畜種農業")),"")</f>
        <v/>
      </c>
      <c r="AS3">
        <f>IFERROR(IF(COUNTIFS(加電履歴!$F:$F,B3,加電履歴!$E:$E,"畜種農業")=0,"",INDEX(加電履歴!$I:$I,MATCH(1,(加電履歴!$F:$F=B3)*(加電履歴!$E:$E="畜種農業")*(加電履歴!$B:$B=MAXIFS(加電履歴!$B:$B,加電履歴!$F:$F,B3,加電履歴!$E:$E,"畜種農業")),0))),"")</f>
        <v/>
      </c>
    </row>
    <row r="4" ht="15.75" customHeight="1">
      <c r="A4" s="9" t="inlineStr">
        <is>
          <t>道央</t>
        </is>
      </c>
      <c r="B4" s="9" t="inlineStr">
        <is>
          <t>おおやファーム株式会社</t>
        </is>
      </c>
      <c r="D4" s="9" t="inlineStr">
        <is>
          <t>北海道千歳市駒里2297番地</t>
        </is>
      </c>
      <c r="E4" s="9" t="inlineStr">
        <is>
          <t>0123-28-1008</t>
        </is>
      </c>
      <c r="F4" s="9" t="inlineStr">
        <is>
          <t>ブランド豚「う米豚」一貫生産</t>
        </is>
      </c>
      <c r="G4" s="9" t="inlineStr">
        <is>
          <t>養豚の重労働による若手人材の定着難</t>
        </is>
      </c>
      <c r="H4" s="9" t="inlineStr">
        <is>
          <t>養豚現場に適応できる特定技能人材を余計な採用コストなしで即戦力として提供</t>
        </is>
      </c>
      <c r="I4" s="9" t="inlineStr">
        <is>
          <t>管理部</t>
        </is>
      </c>
      <c r="J4" s="9" t="inlineStr">
        <is>
          <t>代表取締役社長</t>
        </is>
      </c>
      <c r="K4" s="9" t="inlineStr">
        <is>
          <t>大矢 智彰</t>
        </is>
      </c>
      <c r="L4" s="9" t="inlineStr">
        <is>
          <t>未確認</t>
        </is>
      </c>
      <c r="Q4" s="9" t="inlineStr">
        <is>
          <t>未開拓</t>
        </is>
      </c>
      <c r="R4" s="9" t="inlineStr">
        <is>
          <t>ターゲット</t>
        </is>
      </c>
      <c r="S4" s="9" t="inlineStr">
        <is>
          <t>リストアップ</t>
        </is>
      </c>
      <c r="AH4" s="9" t="inlineStr">
        <is>
          <t>営業推進部</t>
        </is>
      </c>
      <c r="AI4" s="9" t="inlineStr">
        <is>
          <t>武田 悦郎</t>
        </is>
      </c>
      <c r="AP4" s="9" t="inlineStr">
        <is>
          <t>未定</t>
        </is>
      </c>
      <c r="AQ4">
        <f>COUNTIFS(加電履歴!$F:$F,B4,加電履歴!$E:$E,"畜種農業")</f>
        <v/>
      </c>
      <c r="AR4" s="10">
        <f>IFERROR(IF(COUNTIFS(加電履歴!$F:$F,B4,加電履歴!$E:$E,"畜種農業")=0,"",MAXIFS(加電履歴!$B:$B,加電履歴!$F:$F,B4,加電履歴!$E:$E,"畜種農業")),"")</f>
        <v/>
      </c>
      <c r="AS4">
        <f>IFERROR(IF(COUNTIFS(加電履歴!$F:$F,B4,加電履歴!$E:$E,"畜種農業")=0,"",INDEX(加電履歴!$I:$I,MATCH(1,(加電履歴!$F:$F=B4)*(加電履歴!$E:$E="畜種農業")*(加電履歴!$B:$B=MAXIFS(加電履歴!$B:$B,加電履歴!$F:$F,B4,加電履歴!$E:$E,"畜種農業")),0))),"")</f>
        <v/>
      </c>
    </row>
    <row r="5" ht="15.75" customHeight="1">
      <c r="A5" s="9" t="inlineStr">
        <is>
          <t>道央</t>
        </is>
      </c>
      <c r="B5" s="9" t="inlineStr">
        <is>
          <t>有限会社浅野農場</t>
        </is>
      </c>
      <c r="D5" s="9" t="inlineStr">
        <is>
          <t>北海道石狩郡当別町字上当別</t>
        </is>
      </c>
      <c r="E5" s="9" t="inlineStr">
        <is>
          <t>0133-22-4129</t>
        </is>
      </c>
      <c r="F5" s="9" t="inlineStr">
        <is>
          <t>大規模SPF豚生産/複合経営</t>
        </is>
      </c>
      <c r="G5" s="9" t="inlineStr">
        <is>
          <t>繁忙期が重なる際の労働力不足</t>
        </is>
      </c>
      <c r="H5" s="9" t="inlineStr">
        <is>
          <t>複合経営に対応できる柔軟な即戦力人材を採用コストを抑えて提供</t>
        </is>
      </c>
      <c r="I5" s="9" t="inlineStr">
        <is>
          <t>管理部</t>
        </is>
      </c>
      <c r="J5" s="9" t="inlineStr">
        <is>
          <t>代表取締役</t>
        </is>
      </c>
      <c r="K5" s="9" t="inlineStr">
        <is>
          <t>浅野 政輝</t>
        </is>
      </c>
      <c r="L5" s="9" t="inlineStr">
        <is>
          <t>未確認</t>
        </is>
      </c>
      <c r="Q5" s="9" t="inlineStr">
        <is>
          <t>未開拓</t>
        </is>
      </c>
      <c r="R5" s="9" t="inlineStr">
        <is>
          <t>ターゲット</t>
        </is>
      </c>
      <c r="S5" s="9" t="inlineStr">
        <is>
          <t>リストアップ</t>
        </is>
      </c>
      <c r="AH5" s="9" t="inlineStr">
        <is>
          <t>営業推進部</t>
        </is>
      </c>
      <c r="AI5" s="9" t="inlineStr">
        <is>
          <t>武田 悦郎</t>
        </is>
      </c>
      <c r="AP5" s="9" t="inlineStr">
        <is>
          <t>未定</t>
        </is>
      </c>
      <c r="AQ5">
        <f>COUNTIFS(加電履歴!$F:$F,B5,加電履歴!$E:$E,"畜種農業")</f>
        <v/>
      </c>
      <c r="AR5" s="10">
        <f>IFERROR(IF(COUNTIFS(加電履歴!$F:$F,B5,加電履歴!$E:$E,"畜種農業")=0,"",MAXIFS(加電履歴!$B:$B,加電履歴!$F:$F,B5,加電履歴!$E:$E,"畜種農業")),"")</f>
        <v/>
      </c>
      <c r="AS5">
        <f>IFERROR(IF(COUNTIFS(加電履歴!$F:$F,B5,加電履歴!$E:$E,"畜種農業")=0,"",INDEX(加電履歴!$I:$I,MATCH(1,(加電履歴!$F:$F=B5)*(加電履歴!$E:$E="畜種農業")*(加電履歴!$B:$B=MAXIFS(加電履歴!$B:$B,加電履歴!$F:$F,B5,加電履歴!$E:$E,"畜種農業")),0))),"")</f>
        <v/>
      </c>
    </row>
    <row r="6" ht="15.75" customHeight="1">
      <c r="A6" s="9" t="inlineStr">
        <is>
          <t>道央</t>
        </is>
      </c>
      <c r="B6" s="9" t="inlineStr">
        <is>
          <t>有限会社永光農園</t>
        </is>
      </c>
      <c r="D6" s="9" t="inlineStr">
        <is>
          <t>北海道札幌市清田区有明216番地</t>
        </is>
      </c>
      <c r="E6" s="9" t="inlineStr">
        <is>
          <t>011-886-6595</t>
        </is>
      </c>
      <c r="F6" s="9" t="inlineStr">
        <is>
          <t>平飼い養鶏/スイーツ店運営</t>
        </is>
      </c>
      <c r="G6" s="9" t="inlineStr">
        <is>
          <t>集卵や給餌作業と販売スタッフ不足</t>
        </is>
      </c>
      <c r="H6" s="9" t="inlineStr">
        <is>
          <t>養鶏ルーティンを即戦力に任せ代表が店舗運営に専念できる体制構築</t>
        </is>
      </c>
      <c r="I6" s="9" t="inlineStr">
        <is>
          <t>本社</t>
        </is>
      </c>
      <c r="J6" s="9" t="inlineStr">
        <is>
          <t>代表取締役</t>
        </is>
      </c>
      <c r="K6" s="9" t="inlineStr">
        <is>
          <t>永光 洋明</t>
        </is>
      </c>
      <c r="L6" s="9" t="inlineStr">
        <is>
          <t>未確認</t>
        </is>
      </c>
      <c r="Q6" s="9" t="inlineStr">
        <is>
          <t>未開拓</t>
        </is>
      </c>
      <c r="R6" s="9" t="inlineStr">
        <is>
          <t>ターゲット</t>
        </is>
      </c>
      <c r="S6" s="9" t="inlineStr">
        <is>
          <t>リストアップ</t>
        </is>
      </c>
      <c r="AH6" s="9" t="inlineStr">
        <is>
          <t>営業推進部</t>
        </is>
      </c>
      <c r="AI6" s="9" t="inlineStr">
        <is>
          <t>武田 悦郎</t>
        </is>
      </c>
      <c r="AP6" s="9" t="inlineStr">
        <is>
          <t>未定</t>
        </is>
      </c>
      <c r="AQ6">
        <f>COUNTIFS(加電履歴!$F:$F,B6,加電履歴!$E:$E,"畜種農業")</f>
        <v/>
      </c>
      <c r="AR6" s="10">
        <f>IFERROR(IF(COUNTIFS(加電履歴!$F:$F,B6,加電履歴!$E:$E,"畜種農業")=0,"",MAXIFS(加電履歴!$B:$B,加電履歴!$F:$F,B6,加電履歴!$E:$E,"畜種農業")),"")</f>
        <v/>
      </c>
      <c r="AS6">
        <f>IFERROR(IF(COUNTIFS(加電履歴!$F:$F,B6,加電履歴!$E:$E,"畜種農業")=0,"",INDEX(加電履歴!$I:$I,MATCH(1,(加電履歴!$F:$F=B6)*(加電履歴!$E:$E="畜種農業")*(加電履歴!$B:$B=MAXIFS(加電履歴!$B:$B,加電履歴!$F:$F,B6,加電履歴!$E:$E,"畜種農業")),0))),"")</f>
        <v/>
      </c>
    </row>
    <row r="7" ht="15.75" customHeight="1">
      <c r="A7" s="9" t="inlineStr">
        <is>
          <t>道央</t>
        </is>
      </c>
      <c r="B7" s="9" t="inlineStr">
        <is>
          <t>酪農体験むらかみ牧場</t>
        </is>
      </c>
      <c r="D7" s="9" t="inlineStr">
        <is>
          <t>北海道恵庭市戸磯156番地</t>
        </is>
      </c>
      <c r="E7" s="9" t="inlineStr">
        <is>
          <t>0123-32-5093</t>
        </is>
      </c>
      <c r="F7" s="9" t="inlineStr">
        <is>
          <t>観光牧場/自家製牛乳販売</t>
        </is>
      </c>
      <c r="G7" s="9" t="inlineStr">
        <is>
          <t>観光客対応と通常の飼養管理の両立</t>
        </is>
      </c>
      <c r="H7" s="9" t="inlineStr">
        <is>
          <t>バックヤードの飼養管理を即戦力が担うことで接客観光サービス品質を向上</t>
        </is>
      </c>
      <c r="I7" s="9" t="inlineStr">
        <is>
          <t>経営陣</t>
        </is>
      </c>
      <c r="J7" s="9" t="inlineStr">
        <is>
          <t>代表</t>
        </is>
      </c>
      <c r="K7" s="9" t="inlineStr">
        <is>
          <t>村上 隆彦</t>
        </is>
      </c>
      <c r="L7" s="9" t="inlineStr">
        <is>
          <t>未確認</t>
        </is>
      </c>
      <c r="Q7" s="9" t="inlineStr">
        <is>
          <t>未開拓</t>
        </is>
      </c>
      <c r="R7" s="9" t="inlineStr">
        <is>
          <t>ターゲット</t>
        </is>
      </c>
      <c r="S7" s="9" t="inlineStr">
        <is>
          <t>リストアップ</t>
        </is>
      </c>
      <c r="AH7" s="9" t="inlineStr">
        <is>
          <t>営業推進部</t>
        </is>
      </c>
      <c r="AI7" s="9" t="inlineStr">
        <is>
          <t>武田 悦郎</t>
        </is>
      </c>
      <c r="AP7" s="9" t="inlineStr">
        <is>
          <t>未定</t>
        </is>
      </c>
      <c r="AQ7">
        <f>COUNTIFS(加電履歴!$F:$F,B7,加電履歴!$E:$E,"畜種農業")</f>
        <v/>
      </c>
      <c r="AR7" s="10">
        <f>IFERROR(IF(COUNTIFS(加電履歴!$F:$F,B7,加電履歴!$E:$E,"畜種農業")=0,"",MAXIFS(加電履歴!$B:$B,加電履歴!$F:$F,B7,加電履歴!$E:$E,"畜種農業")),"")</f>
        <v/>
      </c>
      <c r="AS7">
        <f>IFERROR(IF(COUNTIFS(加電履歴!$F:$F,B7,加電履歴!$E:$E,"畜種農業")=0,"",INDEX(加電履歴!$I:$I,MATCH(1,(加電履歴!$F:$F=B7)*(加電履歴!$E:$E="畜種農業")*(加電履歴!$B:$B=MAXIFS(加電履歴!$B:$B,加電履歴!$F:$F,B7,加電履歴!$E:$E,"畜種農業")),0))),"")</f>
        <v/>
      </c>
    </row>
    <row r="8" ht="15.75" customHeight="1">
      <c r="A8" s="9" t="inlineStr">
        <is>
          <t>道央</t>
        </is>
      </c>
      <c r="B8" s="9" t="inlineStr">
        <is>
          <t>株式会社北海道酪農公社</t>
        </is>
      </c>
      <c r="D8" s="9" t="inlineStr">
        <is>
          <t>北海道江別市工栄町16番地</t>
        </is>
      </c>
      <c r="E8" s="9" t="inlineStr">
        <is>
          <t>011-384-6930</t>
        </is>
      </c>
      <c r="F8" s="9" t="inlineStr">
        <is>
          <t>江別市拠点の乳製品製造</t>
        </is>
      </c>
      <c r="G8" s="9" t="inlineStr">
        <is>
          <t>生乳処理量の変動に応じた人員配置</t>
        </is>
      </c>
      <c r="H8" s="9" t="inlineStr">
        <is>
          <t>製造現場で即戦力となる人材を活用し採用コストを抑制しながらラインを安定化</t>
        </is>
      </c>
      <c r="I8" s="9" t="inlineStr">
        <is>
          <t>本社</t>
        </is>
      </c>
      <c r="J8" s="9" t="inlineStr">
        <is>
          <t>代表取締役社長</t>
        </is>
      </c>
      <c r="K8" s="9" t="inlineStr">
        <is>
          <t>垣原 徳彰</t>
        </is>
      </c>
      <c r="L8" s="9" t="inlineStr">
        <is>
          <t>未確認</t>
        </is>
      </c>
      <c r="Q8" s="9" t="inlineStr">
        <is>
          <t>未開拓</t>
        </is>
      </c>
      <c r="R8" s="9" t="inlineStr">
        <is>
          <t>ターゲット</t>
        </is>
      </c>
      <c r="S8" s="9" t="inlineStr">
        <is>
          <t>リストアップ</t>
        </is>
      </c>
      <c r="AH8" s="9" t="inlineStr">
        <is>
          <t>営業推進部</t>
        </is>
      </c>
      <c r="AI8" s="9" t="inlineStr">
        <is>
          <t>武田 悦郎</t>
        </is>
      </c>
      <c r="AP8" s="9" t="inlineStr">
        <is>
          <t>未定</t>
        </is>
      </c>
      <c r="AQ8">
        <f>COUNTIFS(加電履歴!$F:$F,B8,加電履歴!$E:$E,"畜種農業")</f>
        <v/>
      </c>
      <c r="AR8" s="10">
        <f>IFERROR(IF(COUNTIFS(加電履歴!$F:$F,B8,加電履歴!$E:$E,"畜種農業")=0,"",MAXIFS(加電履歴!$B:$B,加電履歴!$F:$F,B8,加電履歴!$E:$E,"畜種農業")),"")</f>
        <v/>
      </c>
      <c r="AS8">
        <f>IFERROR(IF(COUNTIFS(加電履歴!$F:$F,B8,加電履歴!$E:$E,"畜種農業")=0,"",INDEX(加電履歴!$I:$I,MATCH(1,(加電履歴!$F:$F=B8)*(加電履歴!$E:$E="畜種農業")*(加電履歴!$B:$B=MAXIFS(加電履歴!$B:$B,加電履歴!$F:$F,B8,加電履歴!$E:$E,"畜種農業")),0))),"")</f>
        <v/>
      </c>
    </row>
    <row r="9" ht="15.75" customHeight="1">
      <c r="A9" s="9" t="inlineStr">
        <is>
          <t>道央</t>
        </is>
      </c>
      <c r="B9" s="9" t="inlineStr">
        <is>
          <t>株式会社太田ファーム</t>
        </is>
      </c>
      <c r="D9" s="9" t="inlineStr">
        <is>
          <t>北海道江別市角山189</t>
        </is>
      </c>
      <c r="E9" s="9" t="inlineStr">
        <is>
          <t>011-382-5410</t>
        </is>
      </c>
      <c r="F9" s="9" t="inlineStr">
        <is>
          <t>純国産鶏もみじ等の平飼い養鶏</t>
        </is>
      </c>
      <c r="G9" s="9" t="inlineStr">
        <is>
          <t>毎日の集卵と鶏舎管理の負担軽減</t>
        </is>
      </c>
      <c r="H9" s="9" t="inlineStr">
        <is>
          <t>養鶏特有の朝夕作業に即戦力として対応可能な特定技能人材の活用提案</t>
        </is>
      </c>
      <c r="I9" s="9" t="inlineStr">
        <is>
          <t>経営陣</t>
        </is>
      </c>
      <c r="J9" s="9" t="inlineStr">
        <is>
          <t>代表取締役</t>
        </is>
      </c>
      <c r="K9" s="9" t="inlineStr">
        <is>
          <t>太田 定昭</t>
        </is>
      </c>
      <c r="L9" s="9" t="inlineStr">
        <is>
          <t>未確認</t>
        </is>
      </c>
      <c r="Q9" s="9" t="inlineStr">
        <is>
          <t>未開拓</t>
        </is>
      </c>
      <c r="R9" s="9" t="inlineStr">
        <is>
          <t>ターゲット</t>
        </is>
      </c>
      <c r="S9" s="9" t="inlineStr">
        <is>
          <t>リストアップ</t>
        </is>
      </c>
      <c r="AH9" s="9" t="inlineStr">
        <is>
          <t>営業推進部</t>
        </is>
      </c>
      <c r="AI9" s="9" t="inlineStr">
        <is>
          <t>武田 悦郎</t>
        </is>
      </c>
      <c r="AP9" s="9" t="inlineStr">
        <is>
          <t>未定</t>
        </is>
      </c>
      <c r="AQ9">
        <f>COUNTIFS(加電履歴!$F:$F,B9,加電履歴!$E:$E,"畜種農業")</f>
        <v/>
      </c>
      <c r="AR9" s="10">
        <f>IFERROR(IF(COUNTIFS(加電履歴!$F:$F,B9,加電履歴!$E:$E,"畜種農業")=0,"",MAXIFS(加電履歴!$B:$B,加電履歴!$F:$F,B9,加電履歴!$E:$E,"畜種農業")),"")</f>
        <v/>
      </c>
      <c r="AS9">
        <f>IFERROR(IF(COUNTIFS(加電履歴!$F:$F,B9,加電履歴!$E:$E,"畜種農業")=0,"",INDEX(加電履歴!$I:$I,MATCH(1,(加電履歴!$F:$F=B9)*(加電履歴!$E:$E="畜種農業")*(加電履歴!$B:$B=MAXIFS(加電履歴!$B:$B,加電履歴!$F:$F,B9,加電履歴!$E:$E,"畜種農業")),0))),"")</f>
        <v/>
      </c>
    </row>
    <row r="10" ht="15.75" customHeight="1">
      <c r="A10" s="9" t="inlineStr">
        <is>
          <t>道央</t>
        </is>
      </c>
      <c r="B10" s="9" t="inlineStr">
        <is>
          <t>株式会社ユートピアアグリカルチャー</t>
        </is>
      </c>
      <c r="D10" s="9" t="inlineStr">
        <is>
          <t>北海道札幌市中央区北1条西3丁目3番地</t>
        </is>
      </c>
      <c r="E10" s="9" t="inlineStr">
        <is>
          <t>011-374-4286</t>
        </is>
      </c>
      <c r="F10" s="9" t="inlineStr">
        <is>
          <t>放牧酪農と平飼い養鶏</t>
        </is>
      </c>
      <c r="G10" s="9" t="inlineStr">
        <is>
          <t>放牧管理や養鶏作業の担い手不足</t>
        </is>
      </c>
      <c r="H10" s="9" t="inlineStr">
        <is>
          <t>現場で即戦力となる人材を採用コストなしで提供する提案</t>
        </is>
      </c>
      <c r="I10" s="9" t="inlineStr">
        <is>
          <t>経営陣</t>
        </is>
      </c>
      <c r="J10" s="9" t="inlineStr">
        <is>
          <t>代表取締役</t>
        </is>
      </c>
      <c r="K10" s="9" t="inlineStr">
        <is>
          <t>長沼 真太郎</t>
        </is>
      </c>
      <c r="L10" s="9" t="inlineStr">
        <is>
          <t>未確認</t>
        </is>
      </c>
      <c r="Q10" s="9" t="inlineStr">
        <is>
          <t>未開拓</t>
        </is>
      </c>
      <c r="R10" s="9" t="inlineStr">
        <is>
          <t>ターゲット</t>
        </is>
      </c>
      <c r="S10" s="9" t="inlineStr">
        <is>
          <t>リストアップ</t>
        </is>
      </c>
      <c r="AH10" s="9" t="inlineStr">
        <is>
          <t>営業推進部</t>
        </is>
      </c>
      <c r="AI10" s="9" t="inlineStr">
        <is>
          <t>武田 悦郎</t>
        </is>
      </c>
      <c r="AP10" s="9" t="inlineStr">
        <is>
          <t>未定</t>
        </is>
      </c>
      <c r="AQ10">
        <f>COUNTIFS(加電履歴!$F:$F,B10,加電履歴!$E:$E,"畜種農業")</f>
        <v/>
      </c>
      <c r="AR10" s="10">
        <f>IFERROR(IF(COUNTIFS(加電履歴!$F:$F,B10,加電履歴!$E:$E,"畜種農業")=0,"",MAXIFS(加電履歴!$B:$B,加電履歴!$F:$F,B10,加電履歴!$E:$E,"畜種農業")),"")</f>
        <v/>
      </c>
      <c r="AS10">
        <f>IFERROR(IF(COUNTIFS(加電履歴!$F:$F,B10,加電履歴!$E:$E,"畜種農業")=0,"",INDEX(加電履歴!$I:$I,MATCH(1,(加電履歴!$F:$F=B10)*(加電履歴!$E:$E="畜種農業")*(加電履歴!$B:$B=MAXIFS(加電履歴!$B:$B,加電履歴!$F:$F,B10,加電履歴!$E:$E,"畜種農業")),0))),"")</f>
        <v/>
      </c>
    </row>
    <row r="11" ht="15.75" customHeight="1">
      <c r="A11" s="9" t="inlineStr">
        <is>
          <t>道央</t>
        </is>
      </c>
      <c r="B11" s="9" t="inlineStr">
        <is>
          <t>有限会社大塚農場</t>
        </is>
      </c>
      <c r="D11" s="9" t="inlineStr">
        <is>
          <t>北海道石狩郡当別町東裏2905</t>
        </is>
      </c>
      <c r="E11" s="9" t="inlineStr">
        <is>
          <t>0133-23-2831</t>
        </is>
      </c>
      <c r="F11" s="9" t="inlineStr">
        <is>
          <t>特別栽培農産物と畜産の複合経営</t>
        </is>
      </c>
      <c r="G11" s="9" t="inlineStr">
        <is>
          <t>多品目栽培と畜産管理の同時並行による多忙</t>
        </is>
      </c>
      <c r="H11" s="9" t="inlineStr">
        <is>
          <t>複合農業の多様な作業に即戦力で対応できる外国人材の導入提案</t>
        </is>
      </c>
      <c r="I11" s="9" t="inlineStr">
        <is>
          <t>管理部</t>
        </is>
      </c>
      <c r="J11" s="9" t="inlineStr">
        <is>
          <t>代表取締役</t>
        </is>
      </c>
      <c r="K11" s="9" t="inlineStr">
        <is>
          <t>大塚 慎太郎</t>
        </is>
      </c>
      <c r="L11" s="9" t="inlineStr">
        <is>
          <t>未確認</t>
        </is>
      </c>
      <c r="Q11" s="9" t="inlineStr">
        <is>
          <t>未開拓</t>
        </is>
      </c>
      <c r="R11" s="9" t="inlineStr">
        <is>
          <t>ターゲット</t>
        </is>
      </c>
      <c r="S11" s="9" t="inlineStr">
        <is>
          <t>リストアップ</t>
        </is>
      </c>
      <c r="AH11" s="9" t="inlineStr">
        <is>
          <t>営業推進部</t>
        </is>
      </c>
      <c r="AI11" s="9" t="inlineStr">
        <is>
          <t>武田 悦郎</t>
        </is>
      </c>
      <c r="AP11" s="9" t="inlineStr">
        <is>
          <t>未定</t>
        </is>
      </c>
      <c r="AQ11">
        <f>COUNTIFS(加電履歴!$F:$F,B11,加電履歴!$E:$E,"畜種農業")</f>
        <v/>
      </c>
      <c r="AR11" s="10">
        <f>IFERROR(IF(COUNTIFS(加電履歴!$F:$F,B11,加電履歴!$E:$E,"畜種農業")=0,"",MAXIFS(加電履歴!$B:$B,加電履歴!$F:$F,B11,加電履歴!$E:$E,"畜種農業")),"")</f>
        <v/>
      </c>
      <c r="AS11">
        <f>IFERROR(IF(COUNTIFS(加電履歴!$F:$F,B11,加電履歴!$E:$E,"畜種農業")=0,"",INDEX(加電履歴!$I:$I,MATCH(1,(加電履歴!$F:$F=B11)*(加電履歴!$E:$E="畜種農業")*(加電履歴!$B:$B=MAXIFS(加電履歴!$B:$B,加電履歴!$F:$F,B11,加電履歴!$E:$E,"畜種農業")),0))),"")</f>
        <v/>
      </c>
    </row>
    <row r="12" ht="15.75" customHeight="1">
      <c r="A12" s="9" t="inlineStr">
        <is>
          <t>道央</t>
        </is>
      </c>
      <c r="B12" s="9" t="inlineStr">
        <is>
          <t>有限会社山中畜産</t>
        </is>
      </c>
      <c r="D12" s="9" t="inlineStr">
        <is>
          <t>北海道夕張郡長沼町西2線北1番地</t>
        </is>
      </c>
      <c r="E12" s="9" t="inlineStr">
        <is>
          <t>0123-88-2146</t>
        </is>
      </c>
      <c r="F12" s="9" t="inlineStr">
        <is>
          <t>SPF認定豚生産</t>
        </is>
      </c>
      <c r="G12" s="9" t="inlineStr">
        <is>
          <t>母豚の大規模管理における人員確保</t>
        </is>
      </c>
      <c r="H12" s="9" t="inlineStr">
        <is>
          <t>大規模養豚のルーティンワークを即戦力として支える特定技能人材の提供</t>
        </is>
      </c>
      <c r="I12" s="9" t="inlineStr">
        <is>
          <t>本社</t>
        </is>
      </c>
      <c r="J12" s="9" t="inlineStr">
        <is>
          <t>代表取締役</t>
        </is>
      </c>
      <c r="K12" s="9" t="inlineStr">
        <is>
          <t>山中 克人</t>
        </is>
      </c>
      <c r="L12" s="9" t="inlineStr">
        <is>
          <t>未確認</t>
        </is>
      </c>
      <c r="Q12" s="9" t="inlineStr">
        <is>
          <t>未開拓</t>
        </is>
      </c>
      <c r="R12" s="9" t="inlineStr">
        <is>
          <t>ターゲット</t>
        </is>
      </c>
      <c r="S12" s="9" t="inlineStr">
        <is>
          <t>リストアップ</t>
        </is>
      </c>
      <c r="AH12" s="9" t="inlineStr">
        <is>
          <t>営業推進部</t>
        </is>
      </c>
      <c r="AI12" s="9" t="inlineStr">
        <is>
          <t>武田 悦郎</t>
        </is>
      </c>
      <c r="AP12" s="9" t="inlineStr">
        <is>
          <t>未定</t>
        </is>
      </c>
      <c r="AQ12">
        <f>COUNTIFS(加電履歴!$F:$F,B12,加電履歴!$E:$E,"畜種農業")</f>
        <v/>
      </c>
      <c r="AR12" s="10">
        <f>IFERROR(IF(COUNTIFS(加電履歴!$F:$F,B12,加電履歴!$E:$E,"畜種農業")=0,"",MAXIFS(加電履歴!$B:$B,加電履歴!$F:$F,B12,加電履歴!$E:$E,"畜種農業")),"")</f>
        <v/>
      </c>
      <c r="AS12">
        <f>IFERROR(IF(COUNTIFS(加電履歴!$F:$F,B12,加電履歴!$E:$E,"畜種農業")=0,"",INDEX(加電履歴!$I:$I,MATCH(1,(加電履歴!$F:$F=B12)*(加電履歴!$E:$E="畜種農業")*(加電履歴!$B:$B=MAXIFS(加電履歴!$B:$B,加電履歴!$F:$F,B12,加電履歴!$E:$E,"畜種農業")),0))),"")</f>
        <v/>
      </c>
    </row>
    <row r="13" ht="15.75" customHeight="1">
      <c r="A13" s="9" t="inlineStr">
        <is>
          <t>道央</t>
        </is>
      </c>
      <c r="B13" s="9" t="inlineStr">
        <is>
          <t>有限会社福屋牧場</t>
        </is>
      </c>
      <c r="D13" s="9" t="inlineStr">
        <is>
          <t>北海道恵庭市上山口653-4</t>
        </is>
      </c>
      <c r="E13" s="9" t="inlineStr">
        <is>
          <t>0123-32-2157</t>
        </is>
      </c>
      <c r="F13" s="9" t="inlineStr">
        <is>
          <t>コンテスト受賞歴のある酪農/ブリーダー</t>
        </is>
      </c>
      <c r="G13" s="9" t="inlineStr">
        <is>
          <t>共進会レベルの牛群管理と日常作業の両立</t>
        </is>
      </c>
      <c r="H13" s="9" t="inlineStr">
        <is>
          <t>高い技術要求に応えるポテンシャルのある人材を即戦力として定着させる提案</t>
        </is>
      </c>
      <c r="I13" s="9" t="inlineStr">
        <is>
          <t>経営陣</t>
        </is>
      </c>
      <c r="J13" s="9" t="inlineStr">
        <is>
          <t>代表取締役</t>
        </is>
      </c>
      <c r="K13" s="9" t="inlineStr">
        <is>
          <t>福屋 栄人</t>
        </is>
      </c>
      <c r="L13" s="9" t="inlineStr">
        <is>
          <t>未確認</t>
        </is>
      </c>
      <c r="Q13" s="9" t="inlineStr">
        <is>
          <t>未開拓</t>
        </is>
      </c>
      <c r="R13" s="9" t="inlineStr">
        <is>
          <t>ターゲット</t>
        </is>
      </c>
      <c r="S13" s="9" t="inlineStr">
        <is>
          <t>リストアップ</t>
        </is>
      </c>
      <c r="AH13" s="9" t="inlineStr">
        <is>
          <t>営業推進部</t>
        </is>
      </c>
      <c r="AI13" s="9" t="inlineStr">
        <is>
          <t>武田 悦郎</t>
        </is>
      </c>
      <c r="AP13" s="9" t="inlineStr">
        <is>
          <t>未定</t>
        </is>
      </c>
      <c r="AQ13">
        <f>COUNTIFS(加電履歴!$F:$F,B13,加電履歴!$E:$E,"畜種農業")</f>
        <v/>
      </c>
      <c r="AR13" s="10">
        <f>IFERROR(IF(COUNTIFS(加電履歴!$F:$F,B13,加電履歴!$E:$E,"畜種農業")=0,"",MAXIFS(加電履歴!$B:$B,加電履歴!$F:$F,B13,加電履歴!$E:$E,"畜種農業")),"")</f>
        <v/>
      </c>
      <c r="AS13">
        <f>IFERROR(IF(COUNTIFS(加電履歴!$F:$F,B13,加電履歴!$E:$E,"畜種農業")=0,"",INDEX(加電履歴!$I:$I,MATCH(1,(加電履歴!$F:$F=B13)*(加電履歴!$E:$E="畜種農業")*(加電履歴!$B:$B=MAXIFS(加電履歴!$B:$B,加電履歴!$F:$F,B13,加電履歴!$E:$E,"畜種農業")),0))),"")</f>
        <v/>
      </c>
    </row>
    <row r="14" ht="15.75" customHeight="1">
      <c r="A14" s="9" t="inlineStr">
        <is>
          <t>道央</t>
        </is>
      </c>
      <c r="B14" s="9" t="inlineStr">
        <is>
          <t>株式会社ホクリヨウ(本社)</t>
        </is>
      </c>
      <c r="D14" s="9" t="inlineStr">
        <is>
          <t>北海道札幌市白石区中央2条3丁目6-15</t>
        </is>
      </c>
      <c r="E14" s="9" t="inlineStr">
        <is>
          <t>011-812-1131</t>
        </is>
      </c>
      <c r="F14" s="9" t="inlineStr">
        <is>
          <t>大規模鶏卵生産・販売加工卵製造</t>
        </is>
      </c>
      <c r="G14" s="9" t="inlineStr">
        <is>
          <t>道内トップクラスの生産規模における人員配置</t>
        </is>
      </c>
      <c r="H14" s="9" t="inlineStr">
        <is>
          <t>大規模工場のルーティンを即戦力で支える特定技能人材の提案</t>
        </is>
      </c>
      <c r="I14" s="9" t="inlineStr">
        <is>
          <t>管理部</t>
        </is>
      </c>
      <c r="J14" s="9" t="inlineStr">
        <is>
          <t>代表取締役社長</t>
        </is>
      </c>
      <c r="K14" s="9" t="inlineStr">
        <is>
          <t>米山 大介</t>
        </is>
      </c>
      <c r="L14" s="9" t="inlineStr">
        <is>
          <t>未確認</t>
        </is>
      </c>
      <c r="Q14" s="9" t="inlineStr">
        <is>
          <t>未開拓</t>
        </is>
      </c>
      <c r="R14" s="9" t="inlineStr">
        <is>
          <t>ターゲット</t>
        </is>
      </c>
      <c r="S14" s="9" t="inlineStr">
        <is>
          <t>リストアップ</t>
        </is>
      </c>
      <c r="AH14" s="9" t="inlineStr">
        <is>
          <t>営業推進部</t>
        </is>
      </c>
      <c r="AI14" s="9" t="inlineStr">
        <is>
          <t>武田 悦郎</t>
        </is>
      </c>
      <c r="AP14" s="9" t="inlineStr">
        <is>
          <t>未定</t>
        </is>
      </c>
      <c r="AQ14">
        <f>COUNTIFS(加電履歴!$F:$F,B14,加電履歴!$E:$E,"畜種農業")</f>
        <v/>
      </c>
      <c r="AR14" s="10">
        <f>IFERROR(IF(COUNTIFS(加電履歴!$F:$F,B14,加電履歴!$E:$E,"畜種農業")=0,"",MAXIFS(加電履歴!$B:$B,加電履歴!$F:$F,B14,加電履歴!$E:$E,"畜種農業")),"")</f>
        <v/>
      </c>
      <c r="AS14">
        <f>IFERROR(IF(COUNTIFS(加電履歴!$F:$F,B14,加電履歴!$E:$E,"畜種農業")=0,"",INDEX(加電履歴!$I:$I,MATCH(1,(加電履歴!$F:$F=B14)*(加電履歴!$E:$E="畜種農業")*(加電履歴!$B:$B=MAXIFS(加電履歴!$B:$B,加電履歴!$F:$F,B14,加電履歴!$E:$E,"畜種農業")),0))),"")</f>
        <v/>
      </c>
    </row>
    <row r="15" ht="15.75" customHeight="1">
      <c r="A15" s="9" t="inlineStr">
        <is>
          <t>道央</t>
        </is>
      </c>
      <c r="B15" s="9" t="inlineStr">
        <is>
          <t>株式会社ホクリヨウ 千歳GP</t>
        </is>
      </c>
      <c r="D15" s="9" t="inlineStr">
        <is>
          <t>北海道千歳市駒里2208</t>
        </is>
      </c>
      <c r="E15" s="9" t="inlineStr">
        <is>
          <t>0123-40-7575</t>
        </is>
      </c>
      <c r="F15" s="9" t="inlineStr">
        <is>
          <t>大規模鶏卵集荷・パッキング</t>
        </is>
      </c>
      <c r="G15" s="9" t="inlineStr">
        <is>
          <t>集卵およびパッキング工程の省力化</t>
        </is>
      </c>
      <c r="H15" s="9" t="inlineStr">
        <is>
          <t>採用コスト不要でパッキングラインの安定稼働を実現</t>
        </is>
      </c>
      <c r="I15" s="9" t="inlineStr">
        <is>
          <t>工場長室</t>
        </is>
      </c>
      <c r="J15" s="9" t="inlineStr">
        <is>
          <t>工場長</t>
        </is>
      </c>
      <c r="K15" s="9" t="inlineStr">
        <is>
          <t>不明</t>
        </is>
      </c>
      <c r="L15" s="9" t="inlineStr">
        <is>
          <t>未確認</t>
        </is>
      </c>
      <c r="Q15" s="9" t="inlineStr">
        <is>
          <t>未開拓</t>
        </is>
      </c>
      <c r="R15" s="9" t="inlineStr">
        <is>
          <t>ターゲット</t>
        </is>
      </c>
      <c r="S15" s="9" t="inlineStr">
        <is>
          <t>リストアップ</t>
        </is>
      </c>
      <c r="AH15" s="9" t="inlineStr">
        <is>
          <t>営業推進部</t>
        </is>
      </c>
      <c r="AI15" s="9" t="inlineStr">
        <is>
          <t>武田 悦郎</t>
        </is>
      </c>
      <c r="AP15" s="9" t="inlineStr">
        <is>
          <t>未定</t>
        </is>
      </c>
      <c r="AQ15">
        <f>COUNTIFS(加電履歴!$F:$F,B15,加電履歴!$E:$E,"畜種農業")</f>
        <v/>
      </c>
      <c r="AR15" s="10">
        <f>IFERROR(IF(COUNTIFS(加電履歴!$F:$F,B15,加電履歴!$E:$E,"畜種農業")=0,"",MAXIFS(加電履歴!$B:$B,加電履歴!$F:$F,B15,加電履歴!$E:$E,"畜種農業")),"")</f>
        <v/>
      </c>
      <c r="AS15">
        <f>IFERROR(IF(COUNTIFS(加電履歴!$F:$F,B15,加電履歴!$E:$E,"畜種農業")=0,"",INDEX(加電履歴!$I:$I,MATCH(1,(加電履歴!$F:$F=B15)*(加電履歴!$E:$E="畜種農業")*(加電履歴!$B:$B=MAXIFS(加電履歴!$B:$B,加電履歴!$F:$F,B15,加電履歴!$E:$E,"畜種農業")),0))),"")</f>
        <v/>
      </c>
    </row>
    <row r="16" ht="15.75" customHeight="1">
      <c r="A16" s="9" t="inlineStr">
        <is>
          <t>道央</t>
        </is>
      </c>
      <c r="B16" s="9" t="inlineStr">
        <is>
          <t>ホクレンくみあいファーム株式会社 恵庭農場</t>
        </is>
      </c>
      <c r="D16" s="9" t="inlineStr">
        <is>
          <t>北海道恵庭市北島27-1</t>
        </is>
      </c>
      <c r="E16" s="9" t="inlineStr">
        <is>
          <t>0123-37-2231</t>
        </is>
      </c>
      <c r="F16" s="9" t="inlineStr">
        <is>
          <t>養鶏事業・鶏卵生産</t>
        </is>
      </c>
      <c r="G16" s="9" t="inlineStr">
        <is>
          <t>大規模農場における安定的な人員確保</t>
        </is>
      </c>
      <c r="H16" s="9" t="inlineStr">
        <is>
          <t>即戦力配置による生産体制の強化</t>
        </is>
      </c>
      <c r="I16" s="9" t="inlineStr">
        <is>
          <t>管理部</t>
        </is>
      </c>
      <c r="J16" s="9" t="inlineStr">
        <is>
          <t>農場長</t>
        </is>
      </c>
      <c r="K16" s="9" t="inlineStr">
        <is>
          <t>不明</t>
        </is>
      </c>
      <c r="L16" s="9" t="inlineStr">
        <is>
          <t>未確認</t>
        </is>
      </c>
      <c r="Q16" s="9" t="inlineStr">
        <is>
          <t>未開拓</t>
        </is>
      </c>
      <c r="R16" s="9" t="inlineStr">
        <is>
          <t>ターゲット</t>
        </is>
      </c>
      <c r="S16" s="9" t="inlineStr">
        <is>
          <t>リストアップ</t>
        </is>
      </c>
      <c r="AH16" s="9" t="inlineStr">
        <is>
          <t>営業推進部</t>
        </is>
      </c>
      <c r="AI16" s="9" t="inlineStr">
        <is>
          <t>武田 悦郎</t>
        </is>
      </c>
      <c r="AP16" s="9" t="inlineStr">
        <is>
          <t>未定</t>
        </is>
      </c>
      <c r="AQ16">
        <f>COUNTIFS(加電履歴!$F:$F,B16,加電履歴!$E:$E,"畜種農業")</f>
        <v/>
      </c>
      <c r="AR16" s="10">
        <f>IFERROR(IF(COUNTIFS(加電履歴!$F:$F,B16,加電履歴!$E:$E,"畜種農業")=0,"",MAXIFS(加電履歴!$B:$B,加電履歴!$F:$F,B16,加電履歴!$E:$E,"畜種農業")),"")</f>
        <v/>
      </c>
      <c r="AS16">
        <f>IFERROR(IF(COUNTIFS(加電履歴!$F:$F,B16,加電履歴!$E:$E,"畜種農業")=0,"",INDEX(加電履歴!$I:$I,MATCH(1,(加電履歴!$F:$F=B16)*(加電履歴!$E:$E="畜種農業")*(加電履歴!$B:$B=MAXIFS(加電履歴!$B:$B,加電履歴!$F:$F,B16,加電履歴!$E:$E,"畜種農業")),0))),"")</f>
        <v/>
      </c>
    </row>
    <row r="17" ht="15.75" customHeight="1">
      <c r="A17" s="9" t="inlineStr">
        <is>
          <t>道央</t>
        </is>
      </c>
      <c r="B17" s="9" t="inlineStr">
        <is>
          <t>有限会社小林牧場</t>
        </is>
      </c>
      <c r="D17" s="9" t="inlineStr">
        <is>
          <t>北海道江別市西野幌668番地</t>
        </is>
      </c>
      <c r="E17" s="9" t="inlineStr">
        <is>
          <t>011-375-1115</t>
        </is>
      </c>
      <c r="F17" s="9" t="inlineStr">
        <is>
          <t>フリーストール牛舎/小林牧場物語ブランド</t>
        </is>
      </c>
      <c r="G17" s="9" t="inlineStr">
        <is>
          <t>ブランド維持のための衛生管理と乳質管理</t>
        </is>
      </c>
      <c r="H17" s="9" t="inlineStr">
        <is>
          <t>清潔な牛舎環境を維持するルーティン作業に即戦力を充てる提案</t>
        </is>
      </c>
      <c r="I17" s="9" t="inlineStr">
        <is>
          <t>経営陣</t>
        </is>
      </c>
      <c r="J17" s="9" t="inlineStr">
        <is>
          <t>代表取締役</t>
        </is>
      </c>
      <c r="K17" s="9" t="inlineStr">
        <is>
          <t>小林 紀彦</t>
        </is>
      </c>
      <c r="L17" s="9" t="inlineStr">
        <is>
          <t>未確認</t>
        </is>
      </c>
      <c r="Q17" s="9" t="inlineStr">
        <is>
          <t>未開拓</t>
        </is>
      </c>
      <c r="R17" s="9" t="inlineStr">
        <is>
          <t>ターゲット</t>
        </is>
      </c>
      <c r="S17" s="9" t="inlineStr">
        <is>
          <t>リストアップ</t>
        </is>
      </c>
      <c r="AH17" s="9" t="inlineStr">
        <is>
          <t>営業推進部</t>
        </is>
      </c>
      <c r="AI17" s="9" t="inlineStr">
        <is>
          <t>武田 悦郎</t>
        </is>
      </c>
      <c r="AP17" s="9" t="inlineStr">
        <is>
          <t>未定</t>
        </is>
      </c>
      <c r="AQ17">
        <f>COUNTIFS(加電履歴!$F:$F,B17,加電履歴!$E:$E,"畜種農業")</f>
        <v/>
      </c>
      <c r="AR17" s="10">
        <f>IFERROR(IF(COUNTIFS(加電履歴!$F:$F,B17,加電履歴!$E:$E,"畜種農業")=0,"",MAXIFS(加電履歴!$B:$B,加電履歴!$F:$F,B17,加電履歴!$E:$E,"畜種農業")),"")</f>
        <v/>
      </c>
      <c r="AS17">
        <f>IFERROR(IF(COUNTIFS(加電履歴!$F:$F,B17,加電履歴!$E:$E,"畜種農業")=0,"",INDEX(加電履歴!$I:$I,MATCH(1,(加電履歴!$F:$F=B17)*(加電履歴!$E:$E="畜種農業")*(加電履歴!$B:$B=MAXIFS(加電履歴!$B:$B,加電履歴!$F:$F,B17,加電履歴!$E:$E,"畜種農業")),0))),"")</f>
        <v/>
      </c>
    </row>
    <row r="18" ht="15.75" customHeight="1">
      <c r="A18" s="9" t="inlineStr">
        <is>
          <t>道央</t>
        </is>
      </c>
      <c r="B18" s="9" t="inlineStr">
        <is>
          <t>有限会社池端牧場</t>
        </is>
      </c>
      <c r="D18" s="9" t="inlineStr">
        <is>
          <t>北海道石狩市樽川97-11</t>
        </is>
      </c>
      <c r="E18" s="9" t="inlineStr">
        <is>
          <t>0133-73-8538</t>
        </is>
      </c>
      <c r="F18" s="9" t="inlineStr">
        <is>
          <t>土壌分析を活用した酪農/堆肥販売</t>
        </is>
      </c>
      <c r="G18" s="9" t="inlineStr">
        <is>
          <t>活性誘導水を用いた環境保全型酪農の維持</t>
        </is>
      </c>
      <c r="H18" s="9" t="inlineStr">
        <is>
          <t>環境に配慮した細やかな飼養管理を即戦力として担える人材の提案</t>
        </is>
      </c>
      <c r="I18" s="9" t="inlineStr">
        <is>
          <t>経営陣</t>
        </is>
      </c>
      <c r="J18" s="9" t="inlineStr">
        <is>
          <t>代表取締役</t>
        </is>
      </c>
      <c r="K18" s="9" t="inlineStr">
        <is>
          <t>池端 規明</t>
        </is>
      </c>
      <c r="L18" s="9" t="inlineStr">
        <is>
          <t>未確認</t>
        </is>
      </c>
      <c r="Q18" s="9" t="inlineStr">
        <is>
          <t>未開拓</t>
        </is>
      </c>
      <c r="R18" s="9" t="inlineStr">
        <is>
          <t>ターゲット</t>
        </is>
      </c>
      <c r="S18" s="9" t="inlineStr">
        <is>
          <t>リストアップ</t>
        </is>
      </c>
      <c r="AH18" s="9" t="inlineStr">
        <is>
          <t>営業推進部</t>
        </is>
      </c>
      <c r="AI18" s="9" t="inlineStr">
        <is>
          <t>武田 悦郎</t>
        </is>
      </c>
      <c r="AP18" s="9" t="inlineStr">
        <is>
          <t>未定</t>
        </is>
      </c>
      <c r="AQ18">
        <f>COUNTIFS(加電履歴!$F:$F,B18,加電履歴!$E:$E,"畜種農業")</f>
        <v/>
      </c>
      <c r="AR18" s="10">
        <f>IFERROR(IF(COUNTIFS(加電履歴!$F:$F,B18,加電履歴!$E:$E,"畜種農業")=0,"",MAXIFS(加電履歴!$B:$B,加電履歴!$F:$F,B18,加電履歴!$E:$E,"畜種農業")),"")</f>
        <v/>
      </c>
      <c r="AS18">
        <f>IFERROR(IF(COUNTIFS(加電履歴!$F:$F,B18,加電履歴!$E:$E,"畜種農業")=0,"",INDEX(加電履歴!$I:$I,MATCH(1,(加電履歴!$F:$F=B18)*(加電履歴!$E:$E="畜種農業")*(加電履歴!$B:$B=MAXIFS(加電履歴!$B:$B,加電履歴!$F:$F,B18,加電履歴!$E:$E,"畜種農業")),0))),"")</f>
        <v/>
      </c>
    </row>
    <row r="19" ht="15.75" customHeight="1">
      <c r="A19" s="9" t="inlineStr">
        <is>
          <t>道央</t>
        </is>
      </c>
      <c r="B19" s="9" t="inlineStr">
        <is>
          <t>一般社団法人Agricola(アグリコラ)</t>
        </is>
      </c>
      <c r="D19" s="9" t="inlineStr">
        <is>
          <t>北海道石狩郡当別町字金沢1779-17</t>
        </is>
      </c>
      <c r="E19" s="9" t="inlineStr">
        <is>
          <t>0133-27-5551</t>
        </is>
      </c>
      <c r="F19" s="9" t="inlineStr">
        <is>
          <t>平飼い卵「あこがれ」生産</t>
        </is>
      </c>
      <c r="G19" s="9" t="inlineStr">
        <is>
          <t>丁寧な飼育管理と販売業務の兼務</t>
        </is>
      </c>
      <c r="H19" s="9" t="inlineStr">
        <is>
          <t>飼育管理専任の即戦力を配置し経営陣が販売拡販に注力できる環境構築</t>
        </is>
      </c>
      <c r="I19" s="9" t="inlineStr">
        <is>
          <t>代表室</t>
        </is>
      </c>
      <c r="J19" s="9" t="inlineStr">
        <is>
          <t>代表</t>
        </is>
      </c>
      <c r="K19" s="9" t="inlineStr">
        <is>
          <t>水野 智大</t>
        </is>
      </c>
      <c r="L19" s="9" t="inlineStr">
        <is>
          <t>未確認</t>
        </is>
      </c>
      <c r="Q19" s="9" t="inlineStr">
        <is>
          <t>未開拓</t>
        </is>
      </c>
      <c r="R19" s="9" t="inlineStr">
        <is>
          <t>ターゲット</t>
        </is>
      </c>
      <c r="S19" s="9" t="inlineStr">
        <is>
          <t>リストアップ</t>
        </is>
      </c>
      <c r="AH19" s="9" t="inlineStr">
        <is>
          <t>営業推進部</t>
        </is>
      </c>
      <c r="AI19" s="9" t="inlineStr">
        <is>
          <t>武田 悦郎</t>
        </is>
      </c>
      <c r="AP19" s="9" t="inlineStr">
        <is>
          <t>未定</t>
        </is>
      </c>
      <c r="AQ19">
        <f>COUNTIFS(加電履歴!$F:$F,B19,加電履歴!$E:$E,"畜種農業")</f>
        <v/>
      </c>
      <c r="AR19" s="10">
        <f>IFERROR(IF(COUNTIFS(加電履歴!$F:$F,B19,加電履歴!$E:$E,"畜種農業")=0,"",MAXIFS(加電履歴!$B:$B,加電履歴!$F:$F,B19,加電履歴!$E:$E,"畜種農業")),"")</f>
        <v/>
      </c>
      <c r="AS19">
        <f>IFERROR(IF(COUNTIFS(加電履歴!$F:$F,B19,加電履歴!$E:$E,"畜種農業")=0,"",INDEX(加電履歴!$I:$I,MATCH(1,(加電履歴!$F:$F=B19)*(加電履歴!$E:$E="畜種農業")*(加電履歴!$B:$B=MAXIFS(加電履歴!$B:$B,加電履歴!$F:$F,B19,加電履歴!$E:$E,"畜種農業")),0))),"")</f>
        <v/>
      </c>
    </row>
    <row r="20" ht="15.75" customHeight="1">
      <c r="A20" s="9" t="inlineStr">
        <is>
          <t>道央</t>
        </is>
      </c>
      <c r="B20" s="9" t="inlineStr">
        <is>
          <t>株式会社北海道中央牧場</t>
        </is>
      </c>
      <c r="D20" s="9" t="inlineStr">
        <is>
          <t>北海道北広島市北進町1丁目2-2</t>
        </is>
      </c>
      <c r="E20" s="9" t="inlineStr">
        <is>
          <t>011-372-0073</t>
        </is>
      </c>
      <c r="F20" s="9" t="inlineStr">
        <is>
          <t>道央圏での牧場経営</t>
        </is>
      </c>
      <c r="G20" s="9" t="inlineStr">
        <is>
          <t>従業員不足への迅速な対応</t>
        </is>
      </c>
      <c r="H20" s="9" t="inlineStr">
        <is>
          <t>採用コストをかけずに即戦力を確保する提案</t>
        </is>
      </c>
      <c r="I20" s="9" t="inlineStr">
        <is>
          <t>経営陣</t>
        </is>
      </c>
      <c r="J20" s="9" t="inlineStr">
        <is>
          <t>代表</t>
        </is>
      </c>
      <c r="K20" s="9" t="inlineStr">
        <is>
          <t>出田 純治</t>
        </is>
      </c>
      <c r="L20" s="9" t="inlineStr">
        <is>
          <t>未確認</t>
        </is>
      </c>
      <c r="Q20" s="9" t="inlineStr">
        <is>
          <t>未開拓</t>
        </is>
      </c>
      <c r="R20" s="9" t="inlineStr">
        <is>
          <t>ターゲット</t>
        </is>
      </c>
      <c r="S20" s="9" t="inlineStr">
        <is>
          <t>リストアップ</t>
        </is>
      </c>
      <c r="AH20" s="9" t="inlineStr">
        <is>
          <t>営業推進部</t>
        </is>
      </c>
      <c r="AI20" s="9" t="inlineStr">
        <is>
          <t>武田 悦郎</t>
        </is>
      </c>
      <c r="AP20" s="9" t="inlineStr">
        <is>
          <t>未定</t>
        </is>
      </c>
      <c r="AQ20">
        <f>COUNTIFS(加電履歴!$F:$F,B20,加電履歴!$E:$E,"畜種農業")</f>
        <v/>
      </c>
      <c r="AR20" s="10">
        <f>IFERROR(IF(COUNTIFS(加電履歴!$F:$F,B20,加電履歴!$E:$E,"畜種農業")=0,"",MAXIFS(加電履歴!$B:$B,加電履歴!$F:$F,B20,加電履歴!$E:$E,"畜種農業")),"")</f>
        <v/>
      </c>
      <c r="AS20">
        <f>IFERROR(IF(COUNTIFS(加電履歴!$F:$F,B20,加電履歴!$E:$E,"畜種農業")=0,"",INDEX(加電履歴!$I:$I,MATCH(1,(加電履歴!$F:$F=B20)*(加電履歴!$E:$E="畜種農業")*(加電履歴!$B:$B=MAXIFS(加電履歴!$B:$B,加電履歴!$F:$F,B20,加電履歴!$E:$E,"畜種農業")),0))),"")</f>
        <v/>
      </c>
    </row>
    <row r="21" ht="15.75" customHeight="1">
      <c r="A21" s="9" t="inlineStr">
        <is>
          <t>道央</t>
        </is>
      </c>
      <c r="B21" s="9" t="inlineStr">
        <is>
          <t>有限会社長沼ファーム</t>
        </is>
      </c>
      <c r="D21" s="9" t="inlineStr">
        <is>
          <t>北海道夕張郡長沼町東7線北5</t>
        </is>
      </c>
      <c r="E21" s="9" t="inlineStr">
        <is>
          <t>0123-88-3698</t>
        </is>
      </c>
      <c r="F21" s="9" t="inlineStr">
        <is>
          <t>ブランド和牛「馬追和牛」生産</t>
        </is>
      </c>
      <c r="G21" s="9" t="inlineStr">
        <is>
          <t>高品質な肉牛のきめ細やかな肥育管理</t>
        </is>
      </c>
      <c r="H21" s="9" t="inlineStr">
        <is>
          <t>肥育ルーティンを即戦力で支援しブランド維持に貢献</t>
        </is>
      </c>
      <c r="I21" s="9" t="inlineStr">
        <is>
          <t>本社</t>
        </is>
      </c>
      <c r="J21" s="9" t="inlineStr">
        <is>
          <t>代表取締役</t>
        </is>
      </c>
      <c r="K21" s="9" t="inlineStr">
        <is>
          <t>不明</t>
        </is>
      </c>
      <c r="L21" s="9" t="inlineStr">
        <is>
          <t>未確認</t>
        </is>
      </c>
      <c r="Q21" s="9" t="inlineStr">
        <is>
          <t>未開拓</t>
        </is>
      </c>
      <c r="R21" s="9" t="inlineStr">
        <is>
          <t>ターゲット</t>
        </is>
      </c>
      <c r="S21" s="9" t="inlineStr">
        <is>
          <t>リストアップ</t>
        </is>
      </c>
      <c r="AH21" s="9" t="inlineStr">
        <is>
          <t>営業推進部</t>
        </is>
      </c>
      <c r="AI21" s="9" t="inlineStr">
        <is>
          <t>武田 悦郎</t>
        </is>
      </c>
      <c r="AP21" s="9" t="inlineStr">
        <is>
          <t>未定</t>
        </is>
      </c>
      <c r="AQ21">
        <f>COUNTIFS(加電履歴!$F:$F,B21,加電履歴!$E:$E,"畜種農業")</f>
        <v/>
      </c>
      <c r="AR21" s="10">
        <f>IFERROR(IF(COUNTIFS(加電履歴!$F:$F,B21,加電履歴!$E:$E,"畜種農業")=0,"",MAXIFS(加電履歴!$B:$B,加電履歴!$F:$F,B21,加電履歴!$E:$E,"畜種農業")),"")</f>
        <v/>
      </c>
      <c r="AS21">
        <f>IFERROR(IF(COUNTIFS(加電履歴!$F:$F,B21,加電履歴!$E:$E,"畜種農業")=0,"",INDEX(加電履歴!$I:$I,MATCH(1,(加電履歴!$F:$F=B21)*(加電履歴!$E:$E="畜種農業")*(加電履歴!$B:$B=MAXIFS(加電履歴!$B:$B,加電履歴!$F:$F,B21,加電履歴!$E:$E,"畜種農業")),0))),"")</f>
        <v/>
      </c>
    </row>
    <row r="22" ht="15.75" customHeight="1">
      <c r="A22" s="9" t="inlineStr">
        <is>
          <t>道央</t>
        </is>
      </c>
      <c r="B22" s="9" t="inlineStr">
        <is>
          <t>株式会社 肉の山本(千歳ラム工房)</t>
        </is>
      </c>
      <c r="D22" s="9" t="inlineStr">
        <is>
          <t>北海道千歳市流通3丁目2-2</t>
        </is>
      </c>
      <c r="E22" s="9" t="inlineStr">
        <is>
          <t>0123-23-7617</t>
        </is>
      </c>
      <c r="F22" s="9" t="inlineStr">
        <is>
          <t>食肉加工・畜産関連</t>
        </is>
      </c>
      <c r="G22" s="9" t="inlineStr">
        <is>
          <t>加工・処理工程での安定的な労働力確保</t>
        </is>
      </c>
      <c r="H22" s="9" t="inlineStr">
        <is>
          <t>食肉加工現場で即戦力となる特定技能人材の配置</t>
        </is>
      </c>
      <c r="I22" s="9" t="inlineStr">
        <is>
          <t>総務部</t>
        </is>
      </c>
      <c r="J22" s="9" t="inlineStr">
        <is>
          <t>代表取締役</t>
        </is>
      </c>
      <c r="K22" s="9" t="inlineStr">
        <is>
          <t>山本 氏</t>
        </is>
      </c>
      <c r="L22" s="9" t="inlineStr">
        <is>
          <t>未確認</t>
        </is>
      </c>
      <c r="Q22" s="9" t="inlineStr">
        <is>
          <t>未開拓</t>
        </is>
      </c>
      <c r="R22" s="9" t="inlineStr">
        <is>
          <t>ターゲット</t>
        </is>
      </c>
      <c r="S22" s="9" t="inlineStr">
        <is>
          <t>リストアップ</t>
        </is>
      </c>
      <c r="AH22" s="9" t="inlineStr">
        <is>
          <t>営業推進部</t>
        </is>
      </c>
      <c r="AI22" s="9" t="inlineStr">
        <is>
          <t>武田 悦郎</t>
        </is>
      </c>
      <c r="AP22" s="9" t="inlineStr">
        <is>
          <t>未定</t>
        </is>
      </c>
      <c r="AQ22">
        <f>COUNTIFS(加電履歴!$F:$F,B22,加電履歴!$E:$E,"畜種農業")</f>
        <v/>
      </c>
      <c r="AR22" s="10">
        <f>IFERROR(IF(COUNTIFS(加電履歴!$F:$F,B22,加電履歴!$E:$E,"畜種農業")=0,"",MAXIFS(加電履歴!$B:$B,加電履歴!$F:$F,B22,加電履歴!$E:$E,"畜種農業")),"")</f>
        <v/>
      </c>
      <c r="AS22">
        <f>IFERROR(IF(COUNTIFS(加電履歴!$F:$F,B22,加電履歴!$E:$E,"畜種農業")=0,"",INDEX(加電履歴!$I:$I,MATCH(1,(加電履歴!$F:$F=B22)*(加電履歴!$E:$E="畜種農業")*(加電履歴!$B:$B=MAXIFS(加電履歴!$B:$B,加電履歴!$F:$F,B22,加電履歴!$E:$E,"畜種農業")),0))),"")</f>
        <v/>
      </c>
    </row>
    <row r="23" ht="15.75" customHeight="1">
      <c r="A23" s="9" t="inlineStr">
        <is>
          <t>道央</t>
        </is>
      </c>
      <c r="B23" s="9" t="inlineStr">
        <is>
          <t>ファームエイジ株式会社</t>
        </is>
      </c>
      <c r="D23" s="9" t="inlineStr">
        <is>
          <t>北海道石狩郡当別町字金沢166-8</t>
        </is>
      </c>
      <c r="E23" s="9" t="inlineStr">
        <is>
          <t>0133-22-3060</t>
        </is>
      </c>
      <c r="F23" s="9" t="inlineStr">
        <is>
          <t>放牧酪農支援・電気柵システム</t>
        </is>
      </c>
      <c r="G23" s="9" t="inlineStr">
        <is>
          <t>放牧環境下での管理作業支援</t>
        </is>
      </c>
      <c r="H23" s="9" t="inlineStr">
        <is>
          <t>放牧地管理に対応できる柔軟な人材の提供</t>
        </is>
      </c>
      <c r="I23" s="9" t="inlineStr">
        <is>
          <t>経営陣</t>
        </is>
      </c>
      <c r="J23" s="9" t="inlineStr">
        <is>
          <t>代表取締役</t>
        </is>
      </c>
      <c r="K23" s="9" t="inlineStr">
        <is>
          <t>小谷 栄二</t>
        </is>
      </c>
      <c r="L23" s="9" t="inlineStr">
        <is>
          <t>未確認</t>
        </is>
      </c>
      <c r="Q23" s="9" t="inlineStr">
        <is>
          <t>未開拓</t>
        </is>
      </c>
      <c r="R23" s="9" t="inlineStr">
        <is>
          <t>ターゲット</t>
        </is>
      </c>
      <c r="S23" s="9" t="inlineStr">
        <is>
          <t>リストアップ</t>
        </is>
      </c>
      <c r="AH23" s="9" t="inlineStr">
        <is>
          <t>営業推進部</t>
        </is>
      </c>
      <c r="AI23" s="9" t="inlineStr">
        <is>
          <t>武田 悦郎</t>
        </is>
      </c>
      <c r="AP23" s="9" t="inlineStr">
        <is>
          <t>未定</t>
        </is>
      </c>
      <c r="AQ23">
        <f>COUNTIFS(加電履歴!$F:$F,B23,加電履歴!$E:$E,"畜種農業")</f>
        <v/>
      </c>
      <c r="AR23" s="10">
        <f>IFERROR(IF(COUNTIFS(加電履歴!$F:$F,B23,加電履歴!$E:$E,"畜種農業")=0,"",MAXIFS(加電履歴!$B:$B,加電履歴!$F:$F,B23,加電履歴!$E:$E,"畜種農業")),"")</f>
        <v/>
      </c>
      <c r="AS23">
        <f>IFERROR(IF(COUNTIFS(加電履歴!$F:$F,B23,加電履歴!$E:$E,"畜種農業")=0,"",INDEX(加電履歴!$I:$I,MATCH(1,(加電履歴!$F:$F=B23)*(加電履歴!$E:$E="畜種農業")*(加電履歴!$B:$B=MAXIFS(加電履歴!$B:$B,加電履歴!$F:$F,B23,加電履歴!$E:$E,"畜種農業")),0))),"")</f>
        <v/>
      </c>
    </row>
    <row r="24">
      <c r="A24" s="9" t="inlineStr">
        <is>
          <t>道央</t>
        </is>
      </c>
      <c r="B24" s="9" t="inlineStr">
        <is>
          <t>株式会社ぼくはん</t>
        </is>
      </c>
      <c r="D24" s="9" t="inlineStr">
        <is>
          <t>北海道北広島市西の里東3丁目9-13</t>
        </is>
      </c>
      <c r="E24" s="9" t="inlineStr">
        <is>
          <t>011-802-5801</t>
        </is>
      </c>
      <c r="F24" s="9" t="inlineStr">
        <is>
          <t>牧場運営関連</t>
        </is>
      </c>
      <c r="G24" s="9" t="inlineStr">
        <is>
          <t>飼養管理スタッフの通年確保</t>
        </is>
      </c>
      <c r="H24" s="9" t="inlineStr">
        <is>
          <t>特定技能の通年雇用による安定化</t>
        </is>
      </c>
      <c r="I24" s="9" t="inlineStr">
        <is>
          <t>管理部</t>
        </is>
      </c>
      <c r="J24" s="9" t="inlineStr">
        <is>
          <t>代表取締役</t>
        </is>
      </c>
      <c r="K24" s="9" t="inlineStr">
        <is>
          <t>不明</t>
        </is>
      </c>
      <c r="L24" s="9" t="inlineStr">
        <is>
          <t>未確認</t>
        </is>
      </c>
      <c r="Q24" s="9" t="inlineStr">
        <is>
          <t>未開拓</t>
        </is>
      </c>
      <c r="R24" s="9" t="inlineStr">
        <is>
          <t>ターゲット</t>
        </is>
      </c>
      <c r="S24" s="9" t="inlineStr">
        <is>
          <t>リストアップ</t>
        </is>
      </c>
      <c r="AH24" s="9" t="inlineStr">
        <is>
          <t>営業推進部</t>
        </is>
      </c>
      <c r="AI24" s="9" t="inlineStr">
        <is>
          <t>武田 悦郎</t>
        </is>
      </c>
      <c r="AP24" s="9" t="inlineStr">
        <is>
          <t>未定</t>
        </is>
      </c>
      <c r="AQ24">
        <f>COUNTIFS(加電履歴!$F:$F,B24,加電履歴!$E:$E,"畜種農業")</f>
        <v/>
      </c>
      <c r="AR24" s="10">
        <f>IFERROR(IF(COUNTIFS(加電履歴!$F:$F,B24,加電履歴!$E:$E,"畜種農業")=0,"",MAXIFS(加電履歴!$B:$B,加電履歴!$F:$F,B24,加電履歴!$E:$E,"畜種農業")),"")</f>
        <v/>
      </c>
      <c r="AS24">
        <f>IFERROR(IF(COUNTIFS(加電履歴!$F:$F,B24,加電履歴!$E:$E,"畜種農業")=0,"",INDEX(加電履歴!$I:$I,MATCH(1,(加電履歴!$F:$F=B24)*(加電履歴!$E:$E="畜種農業")*(加電履歴!$B:$B=MAXIFS(加電履歴!$B:$B,加電履歴!$F:$F,B24,加電履歴!$E:$E,"畜種農業")),0))),"")</f>
        <v/>
      </c>
    </row>
    <row r="25">
      <c r="A25" s="9" t="inlineStr">
        <is>
          <t>道央</t>
        </is>
      </c>
      <c r="B25" s="9" t="inlineStr">
        <is>
          <t>北海道ホルスタイン農業協同組合</t>
        </is>
      </c>
      <c r="D25" s="9" t="inlineStr">
        <is>
          <t>北海道札幌市北区北15条西5丁目1-5</t>
        </is>
      </c>
      <c r="E25" s="9" t="inlineStr">
        <is>
          <t>011-726-3111</t>
        </is>
      </c>
      <c r="F25" s="9" t="inlineStr">
        <is>
          <t>全道の酪農組合支援</t>
        </is>
      </c>
      <c r="G25" s="9" t="inlineStr">
        <is>
          <t>組合員農家への労働力不足対策支援</t>
        </is>
      </c>
      <c r="H25" s="9" t="inlineStr">
        <is>
          <t>全道の組合員農家へ展開可能な採用コスト削減モデルの提案</t>
        </is>
      </c>
      <c r="I25" s="9" t="inlineStr">
        <is>
          <t>管理部</t>
        </is>
      </c>
      <c r="J25" s="9" t="inlineStr">
        <is>
          <t>代表理事組合長</t>
        </is>
      </c>
      <c r="K25" s="9" t="inlineStr">
        <is>
          <t>山口 哲朗</t>
        </is>
      </c>
      <c r="L25" s="9" t="inlineStr">
        <is>
          <t>未確認</t>
        </is>
      </c>
      <c r="Q25" s="9" t="inlineStr">
        <is>
          <t>未開拓</t>
        </is>
      </c>
      <c r="R25" s="9" t="inlineStr">
        <is>
          <t>ターゲット</t>
        </is>
      </c>
      <c r="S25" s="9" t="inlineStr">
        <is>
          <t>リストアップ</t>
        </is>
      </c>
      <c r="AH25" s="9" t="inlineStr">
        <is>
          <t>営業推進部</t>
        </is>
      </c>
      <c r="AI25" s="9" t="inlineStr">
        <is>
          <t>武田 悦郎</t>
        </is>
      </c>
      <c r="AP25" s="9" t="inlineStr">
        <is>
          <t>未定</t>
        </is>
      </c>
      <c r="AQ25">
        <f>COUNTIFS(加電履歴!$F:$F,B25,加電履歴!$E:$E,"畜種農業")</f>
        <v/>
      </c>
      <c r="AR25" s="10">
        <f>IFERROR(IF(COUNTIFS(加電履歴!$F:$F,B25,加電履歴!$E:$E,"畜種農業")=0,"",MAXIFS(加電履歴!$B:$B,加電履歴!$F:$F,B25,加電履歴!$E:$E,"畜種農業")),"")</f>
        <v/>
      </c>
      <c r="AS25">
        <f>IFERROR(IF(COUNTIFS(加電履歴!$F:$F,B25,加電履歴!$E:$E,"畜種農業")=0,"",INDEX(加電履歴!$I:$I,MATCH(1,(加電履歴!$F:$F=B25)*(加電履歴!$E:$E="畜種農業")*(加電履歴!$B:$B=MAXIFS(加電履歴!$B:$B,加電履歴!$F:$F,B25,加電履歴!$E:$E,"畜種農業")),0))),"")</f>
        <v/>
      </c>
    </row>
    <row r="26">
      <c r="A26" s="9" t="inlineStr">
        <is>
          <t>道央</t>
        </is>
      </c>
      <c r="B26" s="9" t="inlineStr">
        <is>
          <t>アースドリーム角山農場(トンデンファーム)</t>
        </is>
      </c>
      <c r="D26" s="9" t="inlineStr">
        <is>
          <t>北海道江別市角山584-1</t>
        </is>
      </c>
      <c r="E26" s="9" t="inlineStr">
        <is>
          <t>011-391-2500</t>
        </is>
      </c>
      <c r="F26" s="9" t="inlineStr">
        <is>
          <t>観光体験牧場/アルパカやミニ豚飼育</t>
        </is>
      </c>
      <c r="G26" s="9" t="inlineStr">
        <is>
          <t>観光客対応と多種多様な動物の飼育負担</t>
        </is>
      </c>
      <c r="H26" s="9" t="inlineStr">
        <is>
          <t>観光エリア外でのバックヤード飼育管理を即戦力に任せる体制構築</t>
        </is>
      </c>
      <c r="I26" s="9" t="inlineStr">
        <is>
          <t>農場管理部</t>
        </is>
      </c>
      <c r="J26" s="9" t="inlineStr">
        <is>
          <t>代表</t>
        </is>
      </c>
      <c r="K26" s="9" t="inlineStr">
        <is>
          <t>不明</t>
        </is>
      </c>
      <c r="L26" s="9" t="inlineStr">
        <is>
          <t>未確認</t>
        </is>
      </c>
      <c r="Q26" s="9" t="inlineStr">
        <is>
          <t>未開拓</t>
        </is>
      </c>
      <c r="R26" s="9" t="inlineStr">
        <is>
          <t>ターゲット</t>
        </is>
      </c>
      <c r="S26" s="9" t="inlineStr">
        <is>
          <t>リストアップ</t>
        </is>
      </c>
      <c r="AH26" s="9" t="inlineStr">
        <is>
          <t>営業推進部</t>
        </is>
      </c>
      <c r="AI26" s="9" t="inlineStr">
        <is>
          <t>武田 悦郎</t>
        </is>
      </c>
      <c r="AP26" s="9" t="inlineStr">
        <is>
          <t>未定</t>
        </is>
      </c>
      <c r="AQ26">
        <f>COUNTIFS(加電履歴!$F:$F,B26,加電履歴!$E:$E,"畜種農業")</f>
        <v/>
      </c>
      <c r="AR26" s="10">
        <f>IFERROR(IF(COUNTIFS(加電履歴!$F:$F,B26,加電履歴!$E:$E,"畜種農業")=0,"",MAXIFS(加電履歴!$B:$B,加電履歴!$F:$F,B26,加電履歴!$E:$E,"畜種農業")),"")</f>
        <v/>
      </c>
      <c r="AS26">
        <f>IFERROR(IF(COUNTIFS(加電履歴!$F:$F,B26,加電履歴!$E:$E,"畜種農業")=0,"",INDEX(加電履歴!$I:$I,MATCH(1,(加電履歴!$F:$F=B26)*(加電履歴!$E:$E="畜種農業")*(加電履歴!$B:$B=MAXIFS(加電履歴!$B:$B,加電履歴!$F:$F,B26,加電履歴!$E:$E,"畜種農業")),0))),"")</f>
        <v/>
      </c>
    </row>
    <row r="27">
      <c r="A27" s="9" t="inlineStr">
        <is>
          <t>道央</t>
        </is>
      </c>
      <c r="B27" s="9" t="inlineStr">
        <is>
          <t>千歳市営牧場(道央農業振興公社)</t>
        </is>
      </c>
      <c r="D27" s="9" t="inlineStr">
        <is>
          <t>北海道千歳市駒里1032番地の1</t>
        </is>
      </c>
      <c r="E27" s="9" t="inlineStr">
        <is>
          <t>0123-23-4170</t>
        </is>
      </c>
      <c r="F27" s="9" t="inlineStr">
        <is>
          <t>公共牧野/育成牛の通年預託</t>
        </is>
      </c>
      <c r="G27" s="9" t="inlineStr">
        <is>
          <t>広大な牧草地と育成牛管理の省力化</t>
        </is>
      </c>
      <c r="H27" s="9" t="inlineStr">
        <is>
          <t>公共施設の安定稼働を即戦力の特定技能人材で支援する提案</t>
        </is>
      </c>
      <c r="I27" s="9" t="inlineStr">
        <is>
          <t>管理部</t>
        </is>
      </c>
      <c r="J27" s="9" t="inlineStr">
        <is>
          <t>管理者</t>
        </is>
      </c>
      <c r="K27" s="9" t="inlineStr">
        <is>
          <t>不明</t>
        </is>
      </c>
      <c r="L27" s="9" t="inlineStr">
        <is>
          <t>未確認</t>
        </is>
      </c>
      <c r="Q27" s="9" t="inlineStr">
        <is>
          <t>未開拓</t>
        </is>
      </c>
      <c r="R27" s="9" t="inlineStr">
        <is>
          <t>ターゲット</t>
        </is>
      </c>
      <c r="S27" s="9" t="inlineStr">
        <is>
          <t>リストアップ</t>
        </is>
      </c>
      <c r="AH27" s="9" t="inlineStr">
        <is>
          <t>営業推進部</t>
        </is>
      </c>
      <c r="AI27" s="9" t="inlineStr">
        <is>
          <t>武田 悦郎</t>
        </is>
      </c>
      <c r="AP27" s="9" t="inlineStr">
        <is>
          <t>未定</t>
        </is>
      </c>
      <c r="AQ27">
        <f>COUNTIFS(加電履歴!$F:$F,B27,加電履歴!$E:$E,"畜種農業")</f>
        <v/>
      </c>
      <c r="AR27" s="10">
        <f>IFERROR(IF(COUNTIFS(加電履歴!$F:$F,B27,加電履歴!$E:$E,"畜種農業")=0,"",MAXIFS(加電履歴!$B:$B,加電履歴!$F:$F,B27,加電履歴!$E:$E,"畜種農業")),"")</f>
        <v/>
      </c>
      <c r="AS27">
        <f>IFERROR(IF(COUNTIFS(加電履歴!$F:$F,B27,加電履歴!$E:$E,"畜種農業")=0,"",INDEX(加電履歴!$I:$I,MATCH(1,(加電履歴!$F:$F=B27)*(加電履歴!$E:$E="畜種農業")*(加電履歴!$B:$B=MAXIFS(加電履歴!$B:$B,加電履歴!$F:$F,B27,加電履歴!$E:$E,"畜種農業")),0))),"")</f>
        <v/>
      </c>
    </row>
    <row r="28">
      <c r="A28" s="9" t="inlineStr">
        <is>
          <t>道央</t>
        </is>
      </c>
      <c r="B28" s="9" t="inlineStr">
        <is>
          <t>石狩ひつじ牧場</t>
        </is>
      </c>
      <c r="D28" s="9" t="inlineStr">
        <is>
          <t>北海道石狩市樽川485-1</t>
        </is>
      </c>
      <c r="E28" s="9" t="inlineStr">
        <is>
          <t>011-765-1116</t>
        </is>
      </c>
      <c r="F28" s="9" t="inlineStr">
        <is>
          <t>観光牧場/羊乳チーズ製造</t>
        </is>
      </c>
      <c r="G28" s="9" t="inlineStr">
        <is>
          <t>羊の飼育と観光・チーズ製造の兼務負担</t>
        </is>
      </c>
      <c r="H28" s="9" t="inlineStr">
        <is>
          <t>飼育管理を即戦力が担うことで代表が加工・接客に専念できる体制構築</t>
        </is>
      </c>
      <c r="I28" s="9" t="inlineStr">
        <is>
          <t>経営陣</t>
        </is>
      </c>
      <c r="J28" s="9" t="inlineStr">
        <is>
          <t>代表</t>
        </is>
      </c>
      <c r="K28" s="9" t="inlineStr">
        <is>
          <t>不明</t>
        </is>
      </c>
      <c r="L28" s="9" t="inlineStr">
        <is>
          <t>未確認</t>
        </is>
      </c>
      <c r="Q28" s="9" t="inlineStr">
        <is>
          <t>未開拓</t>
        </is>
      </c>
      <c r="R28" s="9" t="inlineStr">
        <is>
          <t>ターゲット</t>
        </is>
      </c>
      <c r="S28" s="9" t="inlineStr">
        <is>
          <t>リストアップ</t>
        </is>
      </c>
      <c r="AH28" s="9" t="inlineStr">
        <is>
          <t>営業推進部</t>
        </is>
      </c>
      <c r="AI28" s="9" t="inlineStr">
        <is>
          <t>武田 悦郎</t>
        </is>
      </c>
      <c r="AP28" s="9" t="inlineStr">
        <is>
          <t>未定</t>
        </is>
      </c>
      <c r="AQ28">
        <f>COUNTIFS(加電履歴!$F:$F,B28,加電履歴!$E:$E,"畜種農業")</f>
        <v/>
      </c>
      <c r="AR28" s="10">
        <f>IFERROR(IF(COUNTIFS(加電履歴!$F:$F,B28,加電履歴!$E:$E,"畜種農業")=0,"",MAXIFS(加電履歴!$B:$B,加電履歴!$F:$F,B28,加電履歴!$E:$E,"畜種農業")),"")</f>
        <v/>
      </c>
      <c r="AS28">
        <f>IFERROR(IF(COUNTIFS(加電履歴!$F:$F,B28,加電履歴!$E:$E,"畜種農業")=0,"",INDEX(加電履歴!$I:$I,MATCH(1,(加電履歴!$F:$F=B28)*(加電履歴!$E:$E="畜種農業")*(加電履歴!$B:$B=MAXIFS(加電履歴!$B:$B,加電履歴!$F:$F,B28,加電履歴!$E:$E,"畜種農業")),0))),"")</f>
        <v/>
      </c>
    </row>
    <row r="29">
      <c r="A29" s="9" t="inlineStr">
        <is>
          <t>道央</t>
        </is>
      </c>
      <c r="B29" s="9" t="inlineStr">
        <is>
          <t>有限会社大塚ファーム</t>
        </is>
      </c>
      <c r="D29" s="9" t="inlineStr">
        <is>
          <t>北海道石狩郡新篠津村第36線南42番地</t>
        </is>
      </c>
      <c r="E29" s="9" t="inlineStr">
        <is>
          <t>0126-57-2573</t>
        </is>
      </c>
      <c r="F29" s="9" t="inlineStr">
        <is>
          <t>有機農業および関連事業</t>
        </is>
      </c>
      <c r="G29" s="9" t="inlineStr">
        <is>
          <t>農福連携と複合的な作業の効率化</t>
        </is>
      </c>
      <c r="H29" s="9" t="inlineStr">
        <is>
          <t>多様な作業に即戦力で対応する人材の提供</t>
        </is>
      </c>
      <c r="I29" s="9" t="inlineStr">
        <is>
          <t>経営陣</t>
        </is>
      </c>
      <c r="J29" s="9" t="inlineStr">
        <is>
          <t>代表</t>
        </is>
      </c>
      <c r="K29" s="9" t="inlineStr">
        <is>
          <t>大塚 氏</t>
        </is>
      </c>
      <c r="L29" s="9" t="inlineStr">
        <is>
          <t>未確認</t>
        </is>
      </c>
      <c r="Q29" s="9" t="inlineStr">
        <is>
          <t>未開拓</t>
        </is>
      </c>
      <c r="R29" s="9" t="inlineStr">
        <is>
          <t>ターゲット</t>
        </is>
      </c>
      <c r="S29" s="9" t="inlineStr">
        <is>
          <t>リストアップ</t>
        </is>
      </c>
      <c r="AH29" s="9" t="inlineStr">
        <is>
          <t>営業推進部</t>
        </is>
      </c>
      <c r="AI29" s="9" t="inlineStr">
        <is>
          <t>武田 悦郎</t>
        </is>
      </c>
      <c r="AP29" s="9" t="inlineStr">
        <is>
          <t>未定</t>
        </is>
      </c>
      <c r="AQ29">
        <f>COUNTIFS(加電履歴!$F:$F,B29,加電履歴!$E:$E,"畜種農業")</f>
        <v/>
      </c>
      <c r="AR29" s="10">
        <f>IFERROR(IF(COUNTIFS(加電履歴!$F:$F,B29,加電履歴!$E:$E,"畜種農業")=0,"",MAXIFS(加電履歴!$B:$B,加電履歴!$F:$F,B29,加電履歴!$E:$E,"畜種農業")),"")</f>
        <v/>
      </c>
      <c r="AS29">
        <f>IFERROR(IF(COUNTIFS(加電履歴!$F:$F,B29,加電履歴!$E:$E,"畜種農業")=0,"",INDEX(加電履歴!$I:$I,MATCH(1,(加電履歴!$F:$F=B29)*(加電履歴!$E:$E="畜種農業")*(加電履歴!$B:$B=MAXIFS(加電履歴!$B:$B,加電履歴!$F:$F,B29,加電履歴!$E:$E,"畜種農業")),0))),"")</f>
        <v/>
      </c>
    </row>
    <row r="30">
      <c r="A30" s="9" t="inlineStr">
        <is>
          <t>道央</t>
        </is>
      </c>
      <c r="B30" s="9" t="inlineStr">
        <is>
          <t>株式会社JAKE</t>
        </is>
      </c>
      <c r="D30" s="9" t="inlineStr">
        <is>
          <t>北海道岩見沢市下志文町24-11</t>
        </is>
      </c>
      <c r="E30" s="9" t="inlineStr">
        <is>
          <t>0126-26-3340</t>
        </is>
      </c>
      <c r="F30" s="9" t="inlineStr">
        <is>
          <t>養鶏・有機穀物生産</t>
        </is>
      </c>
      <c r="G30" s="9" t="inlineStr">
        <is>
          <t>複合経営の労働力分散</t>
        </is>
      </c>
      <c r="H30" s="9" t="inlineStr">
        <is>
          <t>養鶏部門への即戦力配置による生産性向上</t>
        </is>
      </c>
      <c r="I30" s="9" t="inlineStr">
        <is>
          <t>本社</t>
        </is>
      </c>
      <c r="J30" s="9" t="inlineStr">
        <is>
          <t>代表</t>
        </is>
      </c>
      <c r="K30" s="9" t="inlineStr">
        <is>
          <t>不明</t>
        </is>
      </c>
      <c r="L30" s="9" t="inlineStr">
        <is>
          <t>未確認</t>
        </is>
      </c>
      <c r="Q30" s="9" t="inlineStr">
        <is>
          <t>未開拓</t>
        </is>
      </c>
      <c r="R30" s="9" t="inlineStr">
        <is>
          <t>ターゲット</t>
        </is>
      </c>
      <c r="S30" s="9" t="inlineStr">
        <is>
          <t>リストアップ</t>
        </is>
      </c>
      <c r="AH30" s="9" t="inlineStr">
        <is>
          <t>営業推進部</t>
        </is>
      </c>
      <c r="AI30" s="9" t="inlineStr">
        <is>
          <t>武田 悦郎</t>
        </is>
      </c>
      <c r="AP30" s="9" t="inlineStr">
        <is>
          <t>未定</t>
        </is>
      </c>
      <c r="AQ30">
        <f>COUNTIFS(加電履歴!$F:$F,B30,加電履歴!$E:$E,"畜種農業")</f>
        <v/>
      </c>
      <c r="AR30" s="10">
        <f>IFERROR(IF(COUNTIFS(加電履歴!$F:$F,B30,加電履歴!$E:$E,"畜種農業")=0,"",MAXIFS(加電履歴!$B:$B,加電履歴!$F:$F,B30,加電履歴!$E:$E,"畜種農業")),"")</f>
        <v/>
      </c>
      <c r="AS30">
        <f>IFERROR(IF(COUNTIFS(加電履歴!$F:$F,B30,加電履歴!$E:$E,"畜種農業")=0,"",INDEX(加電履歴!$I:$I,MATCH(1,(加電履歴!$F:$F=B30)*(加電履歴!$E:$E="畜種農業")*(加電履歴!$B:$B=MAXIFS(加電履歴!$B:$B,加電履歴!$F:$F,B30,加電履歴!$E:$E,"畜種農業")),0))),"")</f>
        <v/>
      </c>
    </row>
    <row r="31">
      <c r="A31" s="9" t="inlineStr">
        <is>
          <t>道央</t>
        </is>
      </c>
      <c r="B31" s="9" t="inlineStr">
        <is>
          <t>橋田牧場</t>
        </is>
      </c>
      <c r="D31" s="9" t="inlineStr">
        <is>
          <t>北海道恵庭市(えにあす関連)</t>
        </is>
      </c>
      <c r="E31" s="9" t="inlineStr">
        <is>
          <t>0123-25-5727(参考)</t>
        </is>
      </c>
      <c r="F31" s="9" t="inlineStr">
        <is>
          <t>恵庭市における酪農経営</t>
        </is>
      </c>
      <c r="G31" s="9" t="inlineStr">
        <is>
          <t>安定的な搾乳作業の担い手確保</t>
        </is>
      </c>
      <c r="H31" s="9" t="inlineStr">
        <is>
          <t>採用コストゼロで即戦力を配置し安定した搾乳オペレーションを実現</t>
        </is>
      </c>
      <c r="I31" s="9" t="inlineStr">
        <is>
          <t>経営陣</t>
        </is>
      </c>
      <c r="J31" s="9" t="inlineStr">
        <is>
          <t>代表(指導農業士)</t>
        </is>
      </c>
      <c r="K31" s="9" t="inlineStr">
        <is>
          <t>橋田 武</t>
        </is>
      </c>
      <c r="L31" s="9" t="inlineStr">
        <is>
          <t>未確認</t>
        </is>
      </c>
      <c r="Q31" s="9" t="inlineStr">
        <is>
          <t>未開拓</t>
        </is>
      </c>
      <c r="R31" s="9" t="inlineStr">
        <is>
          <t>ターゲット</t>
        </is>
      </c>
      <c r="S31" s="9" t="inlineStr">
        <is>
          <t>リストアップ</t>
        </is>
      </c>
      <c r="AH31" s="9" t="inlineStr">
        <is>
          <t>営業推進部</t>
        </is>
      </c>
      <c r="AI31" s="9" t="inlineStr">
        <is>
          <t>武田 悦郎</t>
        </is>
      </c>
      <c r="AP31" s="9" t="inlineStr">
        <is>
          <t>未定</t>
        </is>
      </c>
      <c r="AQ31">
        <f>COUNTIFS(加電履歴!$F:$F,B31,加電履歴!$E:$E,"畜種農業")</f>
        <v/>
      </c>
      <c r="AR31" s="10">
        <f>IFERROR(IF(COUNTIFS(加電履歴!$F:$F,B31,加電履歴!$E:$E,"畜種農業")=0,"",MAXIFS(加電履歴!$B:$B,加電履歴!$F:$F,B31,加電履歴!$E:$E,"畜種農業")),"")</f>
        <v/>
      </c>
      <c r="AS31">
        <f>IFERROR(IF(COUNTIFS(加電履歴!$F:$F,B31,加電履歴!$E:$E,"畜種農業")=0,"",INDEX(加電履歴!$I:$I,MATCH(1,(加電履歴!$F:$F=B31)*(加電履歴!$E:$E="畜種農業")*(加電履歴!$B:$B=MAXIFS(加電履歴!$B:$B,加電履歴!$F:$F,B31,加電履歴!$E:$E,"畜種農業")),0))),"")</f>
        <v/>
      </c>
    </row>
    <row r="32">
      <c r="A32" s="9" t="inlineStr">
        <is>
          <t>道央</t>
        </is>
      </c>
      <c r="B32" s="9" t="inlineStr">
        <is>
          <t>石橋牧場</t>
        </is>
      </c>
      <c r="D32" s="9" t="inlineStr">
        <is>
          <t>北海道北広島市</t>
        </is>
      </c>
      <c r="E32" s="9" t="inlineStr">
        <is>
          <t>不明</t>
        </is>
      </c>
      <c r="F32" s="9" t="inlineStr">
        <is>
          <t>北広島市における酪農経営</t>
        </is>
      </c>
      <c r="G32" s="9" t="inlineStr">
        <is>
          <t>都市近郊での継続的な酪農スタッフ確保</t>
        </is>
      </c>
      <c r="H32" s="9" t="inlineStr">
        <is>
          <t>都市近郊型の酪農環境に適応できる即戦力人材の提供</t>
        </is>
      </c>
      <c r="I32" s="9" t="inlineStr">
        <is>
          <t>経営陣</t>
        </is>
      </c>
      <c r="J32" s="9" t="inlineStr">
        <is>
          <t>代表(指導農業士)</t>
        </is>
      </c>
      <c r="K32" s="9" t="inlineStr">
        <is>
          <t>石橋 茂信</t>
        </is>
      </c>
      <c r="L32" s="9" t="inlineStr">
        <is>
          <t>未確認</t>
        </is>
      </c>
      <c r="Q32" s="9" t="inlineStr">
        <is>
          <t>未開拓</t>
        </is>
      </c>
      <c r="R32" s="9" t="inlineStr">
        <is>
          <t>ターゲット</t>
        </is>
      </c>
      <c r="S32" s="9" t="inlineStr">
        <is>
          <t>リストアップ</t>
        </is>
      </c>
      <c r="AH32" s="9" t="inlineStr">
        <is>
          <t>営業推進部</t>
        </is>
      </c>
      <c r="AI32" s="9" t="inlineStr">
        <is>
          <t>武田 悦郎</t>
        </is>
      </c>
      <c r="AP32" s="9" t="inlineStr">
        <is>
          <t>未定</t>
        </is>
      </c>
      <c r="AQ32">
        <f>COUNTIFS(加電履歴!$F:$F,B32,加電履歴!$E:$E,"畜種農業")</f>
        <v/>
      </c>
      <c r="AR32" s="10">
        <f>IFERROR(IF(COUNTIFS(加電履歴!$F:$F,B32,加電履歴!$E:$E,"畜種農業")=0,"",MAXIFS(加電履歴!$B:$B,加電履歴!$F:$F,B32,加電履歴!$E:$E,"畜種農業")),"")</f>
        <v/>
      </c>
      <c r="AS32">
        <f>IFERROR(IF(COUNTIFS(加電履歴!$F:$F,B32,加電履歴!$E:$E,"畜種農業")=0,"",INDEX(加電履歴!$I:$I,MATCH(1,(加電履歴!$F:$F=B32)*(加電履歴!$E:$E="畜種農業")*(加電履歴!$B:$B=MAXIFS(加電履歴!$B:$B,加電履歴!$F:$F,B32,加電履歴!$E:$E,"畜種農業")),0))),"")</f>
        <v/>
      </c>
    </row>
    <row r="33">
      <c r="A33" s="9" t="inlineStr">
        <is>
          <t>道央</t>
        </is>
      </c>
      <c r="B33" s="9" t="inlineStr">
        <is>
          <t>藤本農場</t>
        </is>
      </c>
      <c r="D33" s="9" t="inlineStr">
        <is>
          <t>北海道千歳市</t>
        </is>
      </c>
      <c r="E33" s="9" t="inlineStr">
        <is>
          <t>不明</t>
        </is>
      </c>
      <c r="F33" s="9" t="inlineStr">
        <is>
          <t>酪農と畑作の複合経営</t>
        </is>
      </c>
      <c r="G33" s="9" t="inlineStr">
        <is>
          <t>複合経営における季節ごとの労働ピークへの対応</t>
        </is>
      </c>
      <c r="H33" s="9" t="inlineStr">
        <is>
          <t>酪農と畑作のハイブリッド作業に即戦力として対応する人材提案</t>
        </is>
      </c>
      <c r="I33" s="9" t="inlineStr">
        <is>
          <t>経営陣</t>
        </is>
      </c>
      <c r="J33" s="9" t="inlineStr">
        <is>
          <t>代表(指導農業士)</t>
        </is>
      </c>
      <c r="K33" s="9" t="inlineStr">
        <is>
          <t>藤本 謹也</t>
        </is>
      </c>
      <c r="L33" s="9" t="inlineStr">
        <is>
          <t>未確認</t>
        </is>
      </c>
      <c r="Q33" s="9" t="inlineStr">
        <is>
          <t>未開拓</t>
        </is>
      </c>
      <c r="R33" s="9" t="inlineStr">
        <is>
          <t>ターゲット</t>
        </is>
      </c>
      <c r="S33" s="9" t="inlineStr">
        <is>
          <t>リストアップ</t>
        </is>
      </c>
      <c r="AH33" s="9" t="inlineStr">
        <is>
          <t>営業推進部</t>
        </is>
      </c>
      <c r="AI33" s="9" t="inlineStr">
        <is>
          <t>武田 悦郎</t>
        </is>
      </c>
      <c r="AP33" s="9" t="inlineStr">
        <is>
          <t>未定</t>
        </is>
      </c>
      <c r="AQ33">
        <f>COUNTIFS(加電履歴!$F:$F,B33,加電履歴!$E:$E,"畜種農業")</f>
        <v/>
      </c>
      <c r="AR33" s="10">
        <f>IFERROR(IF(COUNTIFS(加電履歴!$F:$F,B33,加電履歴!$E:$E,"畜種農業")=0,"",MAXIFS(加電履歴!$B:$B,加電履歴!$F:$F,B33,加電履歴!$E:$E,"畜種農業")),"")</f>
        <v/>
      </c>
      <c r="AS33">
        <f>IFERROR(IF(COUNTIFS(加電履歴!$F:$F,B33,加電履歴!$E:$E,"畜種農業")=0,"",INDEX(加電履歴!$I:$I,MATCH(1,(加電履歴!$F:$F=B33)*(加電履歴!$E:$E="畜種農業")*(加電履歴!$B:$B=MAXIFS(加電履歴!$B:$B,加電履歴!$F:$F,B33,加電履歴!$E:$E,"畜種農業")),0))),"")</f>
        <v/>
      </c>
    </row>
    <row r="34">
      <c r="A34" s="9" t="inlineStr">
        <is>
          <t>道央</t>
        </is>
      </c>
      <c r="B34" s="9" t="inlineStr">
        <is>
          <t>寺山農場</t>
        </is>
      </c>
      <c r="D34" s="9" t="inlineStr">
        <is>
          <t>北海道石狩市</t>
        </is>
      </c>
      <c r="E34" s="9" t="inlineStr">
        <is>
          <t>不明</t>
        </is>
      </c>
      <c r="F34" s="9" t="inlineStr">
        <is>
          <t>肉用牛・稲作・畑作の複合経営</t>
        </is>
      </c>
      <c r="G34" s="9" t="inlineStr">
        <is>
          <t>肉用牛の飼養管理と農繁期の両立</t>
        </is>
      </c>
      <c r="H34" s="9" t="inlineStr">
        <is>
          <t>肉牛管理の基本作業を即戦力に任せ代表が経営に専念できる体制構築</t>
        </is>
      </c>
      <c r="I34" s="9" t="inlineStr">
        <is>
          <t>経営陣</t>
        </is>
      </c>
      <c r="J34" s="9" t="inlineStr">
        <is>
          <t>代表(指導農業士)</t>
        </is>
      </c>
      <c r="K34" s="9" t="inlineStr">
        <is>
          <t>寺山 広司</t>
        </is>
      </c>
      <c r="L34" s="9" t="inlineStr">
        <is>
          <t>未確認</t>
        </is>
      </c>
      <c r="Q34" s="9" t="inlineStr">
        <is>
          <t>未開拓</t>
        </is>
      </c>
      <c r="R34" s="9" t="inlineStr">
        <is>
          <t>ターゲット</t>
        </is>
      </c>
      <c r="S34" s="9" t="inlineStr">
        <is>
          <t>リストアップ</t>
        </is>
      </c>
      <c r="AH34" s="9" t="inlineStr">
        <is>
          <t>営業推進部</t>
        </is>
      </c>
      <c r="AI34" s="9" t="inlineStr">
        <is>
          <t>武田 悦郎</t>
        </is>
      </c>
      <c r="AP34" s="9" t="inlineStr">
        <is>
          <t>未定</t>
        </is>
      </c>
      <c r="AQ34">
        <f>COUNTIFS(加電履歴!$F:$F,B34,加電履歴!$E:$E,"畜種農業")</f>
        <v/>
      </c>
      <c r="AR34" s="10">
        <f>IFERROR(IF(COUNTIFS(加電履歴!$F:$F,B34,加電履歴!$E:$E,"畜種農業")=0,"",MAXIFS(加電履歴!$B:$B,加電履歴!$F:$F,B34,加電履歴!$E:$E,"畜種農業")),"")</f>
        <v/>
      </c>
      <c r="AS34">
        <f>IFERROR(IF(COUNTIFS(加電履歴!$F:$F,B34,加電履歴!$E:$E,"畜種農業")=0,"",INDEX(加電履歴!$I:$I,MATCH(1,(加電履歴!$F:$F=B34)*(加電履歴!$E:$E="畜種農業")*(加電履歴!$B:$B=MAXIFS(加電履歴!$B:$B,加電履歴!$F:$F,B34,加電履歴!$E:$E,"畜種農業")),0))),"")</f>
        <v/>
      </c>
    </row>
    <row r="35">
      <c r="A35" s="9" t="inlineStr">
        <is>
          <t>道南</t>
        </is>
      </c>
      <c r="B35" s="9" t="inlineStr">
        <is>
          <t>日本クリーンファーム株式会社 道南事業所</t>
        </is>
      </c>
      <c r="D35" s="9" t="inlineStr">
        <is>
          <t>北海道二海郡八雲町</t>
        </is>
      </c>
      <c r="E35" s="9" t="inlineStr">
        <is>
          <t>不明</t>
        </is>
      </c>
      <c r="F35" s="9" t="inlineStr">
        <is>
          <t>大規模養豚/道南トップクラスの生産量</t>
        </is>
      </c>
      <c r="G35" s="9" t="inlineStr">
        <is>
          <t>大規模施設の清掃と衛生管理の負担増</t>
        </is>
      </c>
      <c r="H35" s="9" t="inlineStr">
        <is>
          <t>余計な採用コストなしで現場の即戦力となる特定技能人材を配置し安定稼働を支援</t>
        </is>
      </c>
      <c r="I35" s="9" t="inlineStr">
        <is>
          <t>管理部</t>
        </is>
      </c>
      <c r="J35" s="9" t="inlineStr">
        <is>
          <t>代表</t>
        </is>
      </c>
      <c r="K35" s="9" t="inlineStr">
        <is>
          <t>不明</t>
        </is>
      </c>
      <c r="L35" s="9" t="inlineStr">
        <is>
          <t>未確認</t>
        </is>
      </c>
      <c r="Q35" s="9" t="inlineStr">
        <is>
          <t>未開拓</t>
        </is>
      </c>
      <c r="R35" s="9" t="inlineStr">
        <is>
          <t>ターゲット</t>
        </is>
      </c>
      <c r="S35" s="9" t="inlineStr">
        <is>
          <t>リストアップ</t>
        </is>
      </c>
      <c r="AH35" s="9" t="inlineStr">
        <is>
          <t>営業推進部</t>
        </is>
      </c>
      <c r="AI35" s="9" t="inlineStr">
        <is>
          <t>武田 悦郎</t>
        </is>
      </c>
      <c r="AP35" s="9" t="inlineStr">
        <is>
          <t>未定</t>
        </is>
      </c>
      <c r="AQ35">
        <f>COUNTIFS(加電履歴!$F:$F,B35,加電履歴!$E:$E,"畜種農業")</f>
        <v/>
      </c>
      <c r="AR35" s="10">
        <f>IFERROR(IF(COUNTIFS(加電履歴!$F:$F,B35,加電履歴!$E:$E,"畜種農業")=0,"",MAXIFS(加電履歴!$B:$B,加電履歴!$F:$F,B35,加電履歴!$E:$E,"畜種農業")),"")</f>
        <v/>
      </c>
      <c r="AS35">
        <f>IFERROR(IF(COUNTIFS(加電履歴!$F:$F,B35,加電履歴!$E:$E,"畜種農業")=0,"",INDEX(加電履歴!$I:$I,MATCH(1,(加電履歴!$F:$F=B35)*(加電履歴!$E:$E="畜種農業")*(加電履歴!$B:$B=MAXIFS(加電履歴!$B:$B,加電履歴!$F:$F,B35,加電履歴!$E:$E,"畜種農業")),0))),"")</f>
        <v/>
      </c>
    </row>
    <row r="36">
      <c r="A36" s="9" t="inlineStr">
        <is>
          <t>道南</t>
        </is>
      </c>
      <c r="B36" s="9" t="inlineStr">
        <is>
          <t>株式会社山邊畜産</t>
        </is>
      </c>
      <c r="D36" s="9" t="inlineStr">
        <is>
          <t>北海道函館市</t>
        </is>
      </c>
      <c r="E36" s="9" t="inlineStr">
        <is>
          <t>0138-58-3715</t>
        </is>
      </c>
      <c r="F36" s="9" t="inlineStr">
        <is>
          <t>養豚/渡島エリアの安定供給</t>
        </is>
      </c>
      <c r="G36" s="9" t="inlineStr">
        <is>
          <t>日々の豚舎管理と従業員の高齢化</t>
        </is>
      </c>
      <c r="H36" s="9" t="inlineStr">
        <is>
          <t>即戦力を投入しベテラン社員の負担を軽減する体制づくり</t>
        </is>
      </c>
      <c r="I36" s="9" t="inlineStr">
        <is>
          <t>経営陣</t>
        </is>
      </c>
      <c r="J36" s="9" t="inlineStr">
        <is>
          <t>代表取締役</t>
        </is>
      </c>
      <c r="K36" s="9" t="inlineStr">
        <is>
          <t>山邊 氏</t>
        </is>
      </c>
      <c r="L36" s="9" t="inlineStr">
        <is>
          <t>未確認</t>
        </is>
      </c>
      <c r="Q36" s="9" t="inlineStr">
        <is>
          <t>未開拓</t>
        </is>
      </c>
      <c r="R36" s="9" t="inlineStr">
        <is>
          <t>ターゲット</t>
        </is>
      </c>
      <c r="S36" s="9" t="inlineStr">
        <is>
          <t>リストアップ</t>
        </is>
      </c>
      <c r="AH36" s="9" t="inlineStr">
        <is>
          <t>営業推進部</t>
        </is>
      </c>
      <c r="AI36" s="9" t="inlineStr">
        <is>
          <t>武田 悦郎</t>
        </is>
      </c>
      <c r="AP36" s="9" t="inlineStr">
        <is>
          <t>未定</t>
        </is>
      </c>
      <c r="AQ36">
        <f>COUNTIFS(加電履歴!$F:$F,B36,加電履歴!$E:$E,"畜種農業")</f>
        <v/>
      </c>
      <c r="AR36" s="10">
        <f>IFERROR(IF(COUNTIFS(加電履歴!$F:$F,B36,加電履歴!$E:$E,"畜種農業")=0,"",MAXIFS(加電履歴!$B:$B,加電履歴!$F:$F,B36,加電履歴!$E:$E,"畜種農業")),"")</f>
        <v/>
      </c>
      <c r="AS36">
        <f>IFERROR(IF(COUNTIFS(加電履歴!$F:$F,B36,加電履歴!$E:$E,"畜種農業")=0,"",INDEX(加電履歴!$I:$I,MATCH(1,(加電履歴!$F:$F=B36)*(加電履歴!$E:$E="畜種農業")*(加電履歴!$B:$B=MAXIFS(加電履歴!$B:$B,加電履歴!$F:$F,B36,加電履歴!$E:$E,"畜種農業")),0))),"")</f>
        <v/>
      </c>
    </row>
    <row r="37">
      <c r="A37" s="9" t="inlineStr">
        <is>
          <t>道南</t>
        </is>
      </c>
      <c r="B37" s="9" t="inlineStr">
        <is>
          <t>有限会社サクセス森</t>
        </is>
      </c>
      <c r="D37" s="9" t="inlineStr">
        <is>
          <t>北海道茅部郡森町</t>
        </is>
      </c>
      <c r="E37" s="9" t="inlineStr">
        <is>
          <t>不明</t>
        </is>
      </c>
      <c r="F37" s="9" t="inlineStr">
        <is>
          <t>養豚経営</t>
        </is>
      </c>
      <c r="G37" s="9" t="inlineStr">
        <is>
          <t>若手人材の不足による生産体制の維持</t>
        </is>
      </c>
      <c r="H37" s="9" t="inlineStr">
        <is>
          <t>採用コストゼロで即戦力を配置し長期的な生産体制を構築</t>
        </is>
      </c>
      <c r="I37" s="9" t="inlineStr">
        <is>
          <t>経営陣</t>
        </is>
      </c>
      <c r="J37" s="9" t="inlineStr">
        <is>
          <t>代表</t>
        </is>
      </c>
      <c r="K37" s="9" t="inlineStr">
        <is>
          <t>不明</t>
        </is>
      </c>
      <c r="L37" s="9" t="inlineStr">
        <is>
          <t>未確認</t>
        </is>
      </c>
      <c r="Q37" s="9" t="inlineStr">
        <is>
          <t>未開拓</t>
        </is>
      </c>
      <c r="R37" s="9" t="inlineStr">
        <is>
          <t>ターゲット</t>
        </is>
      </c>
      <c r="S37" s="9" t="inlineStr">
        <is>
          <t>リストアップ</t>
        </is>
      </c>
      <c r="AH37" s="9" t="inlineStr">
        <is>
          <t>営業推進部</t>
        </is>
      </c>
      <c r="AI37" s="9" t="inlineStr">
        <is>
          <t>武田 悦郎</t>
        </is>
      </c>
      <c r="AP37" s="9" t="inlineStr">
        <is>
          <t>未定</t>
        </is>
      </c>
      <c r="AQ37">
        <f>COUNTIFS(加電履歴!$F:$F,B37,加電履歴!$E:$E,"畜種農業")</f>
        <v/>
      </c>
      <c r="AR37" s="10">
        <f>IFERROR(IF(COUNTIFS(加電履歴!$F:$F,B37,加電履歴!$E:$E,"畜種農業")=0,"",MAXIFS(加電履歴!$B:$B,加電履歴!$F:$F,B37,加電履歴!$E:$E,"畜種農業")),"")</f>
        <v/>
      </c>
      <c r="AS37">
        <f>IFERROR(IF(COUNTIFS(加電履歴!$F:$F,B37,加電履歴!$E:$E,"畜種農業")=0,"",INDEX(加電履歴!$I:$I,MATCH(1,(加電履歴!$F:$F=B37)*(加電履歴!$E:$E="畜種農業")*(加電履歴!$B:$B=MAXIFS(加電履歴!$B:$B,加電履歴!$F:$F,B37,加電履歴!$E:$E,"畜種農業")),0))),"")</f>
        <v/>
      </c>
    </row>
    <row r="38">
      <c r="A38" s="9" t="inlineStr">
        <is>
          <t>道南</t>
        </is>
      </c>
      <c r="B38" s="9" t="inlineStr">
        <is>
          <t>有限会社道南アグロ</t>
        </is>
      </c>
      <c r="D38" s="9" t="inlineStr">
        <is>
          <t>北海道茅部郡森町</t>
        </is>
      </c>
      <c r="E38" s="9" t="inlineStr">
        <is>
          <t>不明</t>
        </is>
      </c>
      <c r="F38" s="9" t="inlineStr">
        <is>
          <t>ひこま豚の生産・販売</t>
        </is>
      </c>
      <c r="G38" s="9" t="inlineStr">
        <is>
          <t>ブランド豚の徹底した飼養管理と人手不足</t>
        </is>
      </c>
      <c r="H38" s="9" t="inlineStr">
        <is>
          <t>きめ細やかな管理作業を即戦力が担いブランド品質の維持に貢献</t>
        </is>
      </c>
      <c r="I38" s="9" t="inlineStr">
        <is>
          <t>経営陣</t>
        </is>
      </c>
      <c r="J38" s="9" t="inlineStr">
        <is>
          <t>代表</t>
        </is>
      </c>
      <c r="K38" s="9" t="inlineStr">
        <is>
          <t>日沼 氏</t>
        </is>
      </c>
      <c r="L38" s="9" t="inlineStr">
        <is>
          <t>未確認</t>
        </is>
      </c>
      <c r="Q38" s="9" t="inlineStr">
        <is>
          <t>未開拓</t>
        </is>
      </c>
      <c r="R38" s="9" t="inlineStr">
        <is>
          <t>ターゲット</t>
        </is>
      </c>
      <c r="S38" s="9" t="inlineStr">
        <is>
          <t>リストアップ</t>
        </is>
      </c>
      <c r="AH38" s="9" t="inlineStr">
        <is>
          <t>営業推進部</t>
        </is>
      </c>
      <c r="AI38" s="9" t="inlineStr">
        <is>
          <t>武田 悦郎</t>
        </is>
      </c>
      <c r="AP38" s="9" t="inlineStr">
        <is>
          <t>未定</t>
        </is>
      </c>
      <c r="AQ38">
        <f>COUNTIFS(加電履歴!$F:$F,B38,加電履歴!$E:$E,"畜種農業")</f>
        <v/>
      </c>
      <c r="AR38" s="10">
        <f>IFERROR(IF(COUNTIFS(加電履歴!$F:$F,B38,加電履歴!$E:$E,"畜種農業")=0,"",MAXIFS(加電履歴!$B:$B,加電履歴!$F:$F,B38,加電履歴!$E:$E,"畜種農業")),"")</f>
        <v/>
      </c>
      <c r="AS38">
        <f>IFERROR(IF(COUNTIFS(加電履歴!$F:$F,B38,加電履歴!$E:$E,"畜種農業")=0,"",INDEX(加電履歴!$I:$I,MATCH(1,(加電履歴!$F:$F=B38)*(加電履歴!$E:$E="畜種農業")*(加電履歴!$B:$B=MAXIFS(加電履歴!$B:$B,加電履歴!$F:$F,B38,加電履歴!$E:$E,"畜種農業")),0))),"")</f>
        <v/>
      </c>
    </row>
    <row r="39">
      <c r="A39" s="9" t="inlineStr">
        <is>
          <t>道南</t>
        </is>
      </c>
      <c r="B39" s="9" t="inlineStr">
        <is>
          <t>有限会社西村畜産</t>
        </is>
      </c>
      <c r="D39" s="9" t="inlineStr">
        <is>
          <t>北海道茅部郡森町</t>
        </is>
      </c>
      <c r="E39" s="9" t="inlineStr">
        <is>
          <t>不明</t>
        </is>
      </c>
      <c r="F39" s="9" t="inlineStr">
        <is>
          <t>養豚経営</t>
        </is>
      </c>
      <c r="G39" s="9" t="inlineStr">
        <is>
          <t>多頭数飼育における日常業務の効率化</t>
        </is>
      </c>
      <c r="H39" s="9" t="inlineStr">
        <is>
          <t>即戦力人材の導入により飼育スタッフの労働環境を改善</t>
        </is>
      </c>
      <c r="I39" s="9" t="inlineStr">
        <is>
          <t>経営陣</t>
        </is>
      </c>
      <c r="J39" s="9" t="inlineStr">
        <is>
          <t>代表</t>
        </is>
      </c>
      <c r="K39" s="9" t="inlineStr">
        <is>
          <t>西村 氏</t>
        </is>
      </c>
      <c r="L39" s="9" t="inlineStr">
        <is>
          <t>未確認</t>
        </is>
      </c>
      <c r="Q39" s="9" t="inlineStr">
        <is>
          <t>未開拓</t>
        </is>
      </c>
      <c r="R39" s="9" t="inlineStr">
        <is>
          <t>ターゲット</t>
        </is>
      </c>
      <c r="S39" s="9" t="inlineStr">
        <is>
          <t>リストアップ</t>
        </is>
      </c>
      <c r="AH39" s="9" t="inlineStr">
        <is>
          <t>営業推進部</t>
        </is>
      </c>
      <c r="AI39" s="9" t="inlineStr">
        <is>
          <t>武田 悦郎</t>
        </is>
      </c>
      <c r="AP39" s="9" t="inlineStr">
        <is>
          <t>未定</t>
        </is>
      </c>
      <c r="AQ39">
        <f>COUNTIFS(加電履歴!$F:$F,B39,加電履歴!$E:$E,"畜種農業")</f>
        <v/>
      </c>
      <c r="AR39" s="10">
        <f>IFERROR(IF(COUNTIFS(加電履歴!$F:$F,B39,加電履歴!$E:$E,"畜種農業")=0,"",MAXIFS(加電履歴!$B:$B,加電履歴!$F:$F,B39,加電履歴!$E:$E,"畜種農業")),"")</f>
        <v/>
      </c>
      <c r="AS39">
        <f>IFERROR(IF(COUNTIFS(加電履歴!$F:$F,B39,加電履歴!$E:$E,"畜種農業")=0,"",INDEX(加電履歴!$I:$I,MATCH(1,(加電履歴!$F:$F=B39)*(加電履歴!$E:$E="畜種農業")*(加電履歴!$B:$B=MAXIFS(加電履歴!$B:$B,加電履歴!$F:$F,B39,加電履歴!$E:$E,"畜種農業")),0))),"")</f>
        <v/>
      </c>
    </row>
    <row r="40">
      <c r="A40" s="9" t="inlineStr">
        <is>
          <t>道南</t>
        </is>
      </c>
      <c r="B40" s="9" t="inlineStr">
        <is>
          <t>有限会社高橋畜産</t>
        </is>
      </c>
      <c r="D40" s="9" t="inlineStr">
        <is>
          <t>北海道久遠郡せたな町</t>
        </is>
      </c>
      <c r="E40" s="9" t="inlineStr">
        <is>
          <t>不明</t>
        </is>
      </c>
      <c r="F40" s="9" t="inlineStr">
        <is>
          <t>養豚経営</t>
        </is>
      </c>
      <c r="G40" s="9" t="inlineStr">
        <is>
          <t>地方部における人材確保の難航</t>
        </is>
      </c>
      <c r="H40" s="9" t="inlineStr">
        <is>
          <t>採用コストをかけずに即戦力を確保し経営安定化を図る</t>
        </is>
      </c>
      <c r="I40" s="9" t="inlineStr">
        <is>
          <t>経営陣</t>
        </is>
      </c>
      <c r="J40" s="9" t="inlineStr">
        <is>
          <t>代表</t>
        </is>
      </c>
      <c r="K40" s="9" t="inlineStr">
        <is>
          <t>高橋 氏</t>
        </is>
      </c>
      <c r="L40" s="9" t="inlineStr">
        <is>
          <t>未確認</t>
        </is>
      </c>
      <c r="Q40" s="9" t="inlineStr">
        <is>
          <t>未開拓</t>
        </is>
      </c>
      <c r="R40" s="9" t="inlineStr">
        <is>
          <t>ターゲット</t>
        </is>
      </c>
      <c r="S40" s="9" t="inlineStr">
        <is>
          <t>リストアップ</t>
        </is>
      </c>
      <c r="AH40" s="9" t="inlineStr">
        <is>
          <t>営業推進部</t>
        </is>
      </c>
      <c r="AI40" s="9" t="inlineStr">
        <is>
          <t>武田 悦郎</t>
        </is>
      </c>
      <c r="AP40" s="9" t="inlineStr">
        <is>
          <t>未定</t>
        </is>
      </c>
      <c r="AQ40">
        <f>COUNTIFS(加電履歴!$F:$F,B40,加電履歴!$E:$E,"畜種農業")</f>
        <v/>
      </c>
      <c r="AR40" s="10">
        <f>IFERROR(IF(COUNTIFS(加電履歴!$F:$F,B40,加電履歴!$E:$E,"畜種農業")=0,"",MAXIFS(加電履歴!$B:$B,加電履歴!$F:$F,B40,加電履歴!$E:$E,"畜種農業")),"")</f>
        <v/>
      </c>
      <c r="AS40">
        <f>IFERROR(IF(COUNTIFS(加電履歴!$F:$F,B40,加電履歴!$E:$E,"畜種農業")=0,"",INDEX(加電履歴!$I:$I,MATCH(1,(加電履歴!$F:$F=B40)*(加電履歴!$E:$E="畜種農業")*(加電履歴!$B:$B=MAXIFS(加電履歴!$B:$B,加電履歴!$F:$F,B40,加電履歴!$E:$E,"畜種農業")),0))),"")</f>
        <v/>
      </c>
    </row>
    <row r="41">
      <c r="A41" s="9" t="inlineStr">
        <is>
          <t>道南</t>
        </is>
      </c>
      <c r="B41" s="9" t="inlineStr">
        <is>
          <t>有限会社森農場</t>
        </is>
      </c>
      <c r="D41" s="9" t="inlineStr">
        <is>
          <t>北海道檜山郡上ノ国町</t>
        </is>
      </c>
      <c r="E41" s="9" t="inlineStr">
        <is>
          <t>不明</t>
        </is>
      </c>
      <c r="F41" s="9" t="inlineStr">
        <is>
          <t>養豚経営</t>
        </is>
      </c>
      <c r="G41" s="9" t="inlineStr">
        <is>
          <t>遠隔地での労働力定着化</t>
        </is>
      </c>
      <c r="H41" s="9" t="inlineStr">
        <is>
          <t>即戦力として定着が見込める特定技能人材の提供</t>
        </is>
      </c>
      <c r="I41" s="9" t="inlineStr">
        <is>
          <t>経営陣</t>
        </is>
      </c>
      <c r="J41" s="9" t="inlineStr">
        <is>
          <t>代表</t>
        </is>
      </c>
      <c r="K41" s="9" t="inlineStr">
        <is>
          <t>森 氏</t>
        </is>
      </c>
      <c r="L41" s="9" t="inlineStr">
        <is>
          <t>未確認</t>
        </is>
      </c>
      <c r="Q41" s="9" t="inlineStr">
        <is>
          <t>未開拓</t>
        </is>
      </c>
      <c r="R41" s="9" t="inlineStr">
        <is>
          <t>ターゲット</t>
        </is>
      </c>
      <c r="S41" s="9" t="inlineStr">
        <is>
          <t>リストアップ</t>
        </is>
      </c>
      <c r="AH41" s="9" t="inlineStr">
        <is>
          <t>営業推進部</t>
        </is>
      </c>
      <c r="AI41" s="9" t="inlineStr">
        <is>
          <t>武田 悦郎</t>
        </is>
      </c>
      <c r="AP41" s="9" t="inlineStr">
        <is>
          <t>未定</t>
        </is>
      </c>
      <c r="AQ41">
        <f>COUNTIFS(加電履歴!$F:$F,B41,加電履歴!$E:$E,"畜種農業")</f>
        <v/>
      </c>
      <c r="AR41" s="10">
        <f>IFERROR(IF(COUNTIFS(加電履歴!$F:$F,B41,加電履歴!$E:$E,"畜種農業")=0,"",MAXIFS(加電履歴!$B:$B,加電履歴!$F:$F,B41,加電履歴!$E:$E,"畜種農業")),"")</f>
        <v/>
      </c>
      <c r="AS41">
        <f>IFERROR(IF(COUNTIFS(加電履歴!$F:$F,B41,加電履歴!$E:$E,"畜種農業")=0,"",INDEX(加電履歴!$I:$I,MATCH(1,(加電履歴!$F:$F=B41)*(加電履歴!$E:$E="畜種農業")*(加電履歴!$B:$B=MAXIFS(加電履歴!$B:$B,加電履歴!$F:$F,B41,加電履歴!$E:$E,"畜種農業")),0))),"")</f>
        <v/>
      </c>
    </row>
    <row r="42">
      <c r="A42" s="9" t="inlineStr">
        <is>
          <t>道南</t>
        </is>
      </c>
      <c r="B42" s="9" t="inlineStr">
        <is>
          <t>株式会社ひこま豚</t>
        </is>
      </c>
      <c r="D42" s="9" t="inlineStr">
        <is>
          <t>北海道茅部郡森町</t>
        </is>
      </c>
      <c r="E42" s="9" t="inlineStr">
        <is>
          <t>不明</t>
        </is>
      </c>
      <c r="F42" s="9" t="inlineStr">
        <is>
          <t>SPF豚生産・直売</t>
        </is>
      </c>
      <c r="G42" s="9" t="inlineStr">
        <is>
          <t>生産から販売までの一貫体制による多忙</t>
        </is>
      </c>
      <c r="H42" s="9" t="inlineStr">
        <is>
          <t>生産部門に即戦力を配置し販売・加工部門を強化する提案</t>
        </is>
      </c>
      <c r="I42" s="9" t="inlineStr">
        <is>
          <t>本社</t>
        </is>
      </c>
      <c r="J42" s="9" t="inlineStr">
        <is>
          <t>代表取締役</t>
        </is>
      </c>
      <c r="K42" s="9" t="inlineStr">
        <is>
          <t>日沼 氏</t>
        </is>
      </c>
      <c r="L42" s="9" t="inlineStr">
        <is>
          <t>未確認</t>
        </is>
      </c>
      <c r="Q42" s="9" t="inlineStr">
        <is>
          <t>未開拓</t>
        </is>
      </c>
      <c r="R42" s="9" t="inlineStr">
        <is>
          <t>ターゲット</t>
        </is>
      </c>
      <c r="S42" s="9" t="inlineStr">
        <is>
          <t>リストアップ</t>
        </is>
      </c>
      <c r="AH42" s="9" t="inlineStr">
        <is>
          <t>営業推進部</t>
        </is>
      </c>
      <c r="AI42" s="9" t="inlineStr">
        <is>
          <t>武田 悦郎</t>
        </is>
      </c>
      <c r="AP42" s="9" t="inlineStr">
        <is>
          <t>未定</t>
        </is>
      </c>
      <c r="AQ42">
        <f>COUNTIFS(加電履歴!$F:$F,B42,加電履歴!$E:$E,"畜種農業")</f>
        <v/>
      </c>
      <c r="AR42" s="10">
        <f>IFERROR(IF(COUNTIFS(加電履歴!$F:$F,B42,加電履歴!$E:$E,"畜種農業")=0,"",MAXIFS(加電履歴!$B:$B,加電履歴!$F:$F,B42,加電履歴!$E:$E,"畜種農業")),"")</f>
        <v/>
      </c>
      <c r="AS42">
        <f>IFERROR(IF(COUNTIFS(加電履歴!$F:$F,B42,加電履歴!$E:$E,"畜種農業")=0,"",INDEX(加電履歴!$I:$I,MATCH(1,(加電履歴!$F:$F=B42)*(加電履歴!$E:$E="畜種農業")*(加電履歴!$B:$B=MAXIFS(加電履歴!$B:$B,加電履歴!$F:$F,B42,加電履歴!$E:$E,"畜種農業")),0))),"")</f>
        <v/>
      </c>
    </row>
    <row r="43">
      <c r="A43" s="9" t="inlineStr">
        <is>
          <t>道南</t>
        </is>
      </c>
      <c r="B43" s="9" t="inlineStr">
        <is>
          <t>株式会社函館酪農公社</t>
        </is>
      </c>
      <c r="D43" s="9" t="inlineStr">
        <is>
          <t>北海道函館市中野町</t>
        </is>
      </c>
      <c r="E43" s="9" t="inlineStr">
        <is>
          <t>0138-58-4460</t>
        </is>
      </c>
      <c r="F43" s="9" t="inlineStr">
        <is>
          <t>函館牛乳の製造・販売・観光牧場</t>
        </is>
      </c>
      <c r="G43" s="9" t="inlineStr">
        <is>
          <t>製造ラインと牧場管理の並行による労働負荷</t>
        </is>
      </c>
      <c r="H43" s="9" t="inlineStr">
        <is>
          <t>製造・飼育の両面で即戦力となる人材を活用し採用コストを抑制</t>
        </is>
      </c>
      <c r="I43" s="9" t="inlineStr">
        <is>
          <t>管理部</t>
        </is>
      </c>
      <c r="J43" s="9" t="inlineStr">
        <is>
          <t>代表取締役</t>
        </is>
      </c>
      <c r="K43" s="9" t="inlineStr">
        <is>
          <t>不明</t>
        </is>
      </c>
      <c r="L43" s="9" t="inlineStr">
        <is>
          <t>未確認</t>
        </is>
      </c>
      <c r="Q43" s="9" t="inlineStr">
        <is>
          <t>未開拓</t>
        </is>
      </c>
      <c r="R43" s="9" t="inlineStr">
        <is>
          <t>ターゲット</t>
        </is>
      </c>
      <c r="S43" s="9" t="inlineStr">
        <is>
          <t>リストアップ</t>
        </is>
      </c>
      <c r="AH43" s="9" t="inlineStr">
        <is>
          <t>営業推進部</t>
        </is>
      </c>
      <c r="AI43" s="9" t="inlineStr">
        <is>
          <t>武田 悦郎</t>
        </is>
      </c>
      <c r="AP43" s="9" t="inlineStr">
        <is>
          <t>未定</t>
        </is>
      </c>
      <c r="AQ43">
        <f>COUNTIFS(加電履歴!$F:$F,B43,加電履歴!$E:$E,"畜種農業")</f>
        <v/>
      </c>
      <c r="AR43" s="10">
        <f>IFERROR(IF(COUNTIFS(加電履歴!$F:$F,B43,加電履歴!$E:$E,"畜種農業")=0,"",MAXIFS(加電履歴!$B:$B,加電履歴!$F:$F,B43,加電履歴!$E:$E,"畜種農業")),"")</f>
        <v/>
      </c>
      <c r="AS43">
        <f>IFERROR(IF(COUNTIFS(加電履歴!$F:$F,B43,加電履歴!$E:$E,"畜種農業")=0,"",INDEX(加電履歴!$I:$I,MATCH(1,(加電履歴!$F:$F=B43)*(加電履歴!$E:$E="畜種農業")*(加電履歴!$B:$B=MAXIFS(加電履歴!$B:$B,加電履歴!$F:$F,B43,加電履歴!$E:$E,"畜種農業")),0))),"")</f>
        <v/>
      </c>
    </row>
    <row r="44">
      <c r="A44" s="9" t="inlineStr">
        <is>
          <t>道南</t>
        </is>
      </c>
      <c r="B44" s="9" t="inlineStr">
        <is>
          <t>はこだてSinアグリファーム</t>
        </is>
      </c>
      <c r="D44" s="9" t="inlineStr">
        <is>
          <t>北海道函館市</t>
        </is>
      </c>
      <c r="E44" s="9" t="inlineStr">
        <is>
          <t>不明</t>
        </is>
      </c>
      <c r="F44" s="9" t="inlineStr">
        <is>
          <t>畜産物・果樹の複合経営</t>
        </is>
      </c>
      <c r="G44" s="9" t="inlineStr">
        <is>
          <t>畜産と果樹の農繁期の重なり</t>
        </is>
      </c>
      <c r="H44" s="9" t="inlineStr">
        <is>
          <t>多様な作業に即戦力で対応できる外国人材の導入提案</t>
        </is>
      </c>
      <c r="I44" s="9" t="inlineStr">
        <is>
          <t>経営陣</t>
        </is>
      </c>
      <c r="J44" s="9" t="inlineStr">
        <is>
          <t>代表</t>
        </is>
      </c>
      <c r="K44" s="9" t="inlineStr">
        <is>
          <t>不明</t>
        </is>
      </c>
      <c r="L44" s="9" t="inlineStr">
        <is>
          <t>未確認</t>
        </is>
      </c>
      <c r="Q44" s="9" t="inlineStr">
        <is>
          <t>未開拓</t>
        </is>
      </c>
      <c r="R44" s="9" t="inlineStr">
        <is>
          <t>ターゲット</t>
        </is>
      </c>
      <c r="S44" s="9" t="inlineStr">
        <is>
          <t>リストアップ</t>
        </is>
      </c>
      <c r="AH44" s="9" t="inlineStr">
        <is>
          <t>営業推進部</t>
        </is>
      </c>
      <c r="AI44" s="9" t="inlineStr">
        <is>
          <t>武田 悦郎</t>
        </is>
      </c>
      <c r="AP44" s="9" t="inlineStr">
        <is>
          <t>未定</t>
        </is>
      </c>
      <c r="AQ44">
        <f>COUNTIFS(加電履歴!$F:$F,B44,加電履歴!$E:$E,"畜種農業")</f>
        <v/>
      </c>
      <c r="AR44" s="10">
        <f>IFERROR(IF(COUNTIFS(加電履歴!$F:$F,B44,加電履歴!$E:$E,"畜種農業")=0,"",MAXIFS(加電履歴!$B:$B,加電履歴!$F:$F,B44,加電履歴!$E:$E,"畜種農業")),"")</f>
        <v/>
      </c>
      <c r="AS44">
        <f>IFERROR(IF(COUNTIFS(加電履歴!$F:$F,B44,加電履歴!$E:$E,"畜種農業")=0,"",INDEX(加電履歴!$I:$I,MATCH(1,(加電履歴!$F:$F=B44)*(加電履歴!$E:$E="畜種農業")*(加電履歴!$B:$B=MAXIFS(加電履歴!$B:$B,加電履歴!$F:$F,B44,加電履歴!$E:$E,"畜種農業")),0))),"")</f>
        <v/>
      </c>
    </row>
    <row r="45">
      <c r="A45" s="9" t="inlineStr">
        <is>
          <t>道南</t>
        </is>
      </c>
      <c r="B45" s="9" t="inlineStr">
        <is>
          <t>小澤牧場</t>
        </is>
      </c>
      <c r="D45" s="9" t="inlineStr">
        <is>
          <t>北海道七飯町</t>
        </is>
      </c>
      <c r="E45" s="9" t="inlineStr">
        <is>
          <t>不明</t>
        </is>
      </c>
      <c r="F45" s="9" t="inlineStr">
        <is>
          <t>大沼牛の生産</t>
        </is>
      </c>
      <c r="G45" s="9" t="inlineStr">
        <is>
          <t>高級肉牛の緻密な給餌管理</t>
        </is>
      </c>
      <c r="H45" s="9" t="inlineStr">
        <is>
          <t>日常的な給餌・清掃を即戦力に任せ観察体制に注力</t>
        </is>
      </c>
      <c r="I45" s="9" t="inlineStr">
        <is>
          <t>経営陣</t>
        </is>
      </c>
      <c r="J45" s="9" t="inlineStr">
        <is>
          <t>代表</t>
        </is>
      </c>
      <c r="K45" s="9" t="inlineStr">
        <is>
          <t>小澤 氏</t>
        </is>
      </c>
      <c r="L45" s="9" t="inlineStr">
        <is>
          <t>未確認</t>
        </is>
      </c>
      <c r="Q45" s="9" t="inlineStr">
        <is>
          <t>未開拓</t>
        </is>
      </c>
      <c r="R45" s="9" t="inlineStr">
        <is>
          <t>ターゲット</t>
        </is>
      </c>
      <c r="S45" s="9" t="inlineStr">
        <is>
          <t>リストアップ</t>
        </is>
      </c>
      <c r="AH45" s="9" t="inlineStr">
        <is>
          <t>営業推進部</t>
        </is>
      </c>
      <c r="AI45" s="9" t="inlineStr">
        <is>
          <t>武田 悦郎</t>
        </is>
      </c>
      <c r="AP45" s="9" t="inlineStr">
        <is>
          <t>未定</t>
        </is>
      </c>
      <c r="AQ45">
        <f>COUNTIFS(加電履歴!$F:$F,B45,加電履歴!$E:$E,"畜種農業")</f>
        <v/>
      </c>
      <c r="AR45" s="10">
        <f>IFERROR(IF(COUNTIFS(加電履歴!$F:$F,B45,加電履歴!$E:$E,"畜種農業")=0,"",MAXIFS(加電履歴!$B:$B,加電履歴!$F:$F,B45,加電履歴!$E:$E,"畜種農業")),"")</f>
        <v/>
      </c>
      <c r="AS45">
        <f>IFERROR(IF(COUNTIFS(加電履歴!$F:$F,B45,加電履歴!$E:$E,"畜種農業")=0,"",INDEX(加電履歴!$I:$I,MATCH(1,(加電履歴!$F:$F=B45)*(加電履歴!$E:$E="畜種農業")*(加電履歴!$B:$B=MAXIFS(加電履歴!$B:$B,加電履歴!$F:$F,B45,加電履歴!$E:$E,"畜種農業")),0))),"")</f>
        <v/>
      </c>
    </row>
    <row r="46">
      <c r="A46" s="9" t="inlineStr">
        <is>
          <t>道南</t>
        </is>
      </c>
      <c r="B46" s="9" t="inlineStr">
        <is>
          <t>鈴木牧場</t>
        </is>
      </c>
      <c r="D46" s="9" t="inlineStr">
        <is>
          <t>北海道北斗市</t>
        </is>
      </c>
      <c r="E46" s="9" t="inlineStr">
        <is>
          <t>不明</t>
        </is>
      </c>
      <c r="F46" s="9" t="inlineStr">
        <is>
          <t>酪農</t>
        </is>
      </c>
      <c r="G46" s="9" t="inlineStr">
        <is>
          <t>搾乳作業の通年確保</t>
        </is>
      </c>
      <c r="H46" s="9" t="inlineStr">
        <is>
          <t>採用コスト不要で早朝・夜間の搾乳に対応できる即戦力の提供</t>
        </is>
      </c>
      <c r="I46" s="9" t="inlineStr">
        <is>
          <t>経営陣</t>
        </is>
      </c>
      <c r="J46" s="9" t="inlineStr">
        <is>
          <t>代表</t>
        </is>
      </c>
      <c r="K46" s="9" t="inlineStr">
        <is>
          <t>鈴木 氏</t>
        </is>
      </c>
      <c r="L46" s="9" t="inlineStr">
        <is>
          <t>未確認</t>
        </is>
      </c>
      <c r="Q46" s="9" t="inlineStr">
        <is>
          <t>未開拓</t>
        </is>
      </c>
      <c r="R46" s="9" t="inlineStr">
        <is>
          <t>ターゲット</t>
        </is>
      </c>
      <c r="S46" s="9" t="inlineStr">
        <is>
          <t>リストアップ</t>
        </is>
      </c>
      <c r="AH46" s="9" t="inlineStr">
        <is>
          <t>営業推進部</t>
        </is>
      </c>
      <c r="AI46" s="9" t="inlineStr">
        <is>
          <t>武田 悦郎</t>
        </is>
      </c>
      <c r="AP46" s="9" t="inlineStr">
        <is>
          <t>未定</t>
        </is>
      </c>
      <c r="AQ46">
        <f>COUNTIFS(加電履歴!$F:$F,B46,加電履歴!$E:$E,"畜種農業")</f>
        <v/>
      </c>
      <c r="AR46" s="10">
        <f>IFERROR(IF(COUNTIFS(加電履歴!$F:$F,B46,加電履歴!$E:$E,"畜種農業")=0,"",MAXIFS(加電履歴!$B:$B,加電履歴!$F:$F,B46,加電履歴!$E:$E,"畜種農業")),"")</f>
        <v/>
      </c>
      <c r="AS46">
        <f>IFERROR(IF(COUNTIFS(加電履歴!$F:$F,B46,加電履歴!$E:$E,"畜種農業")=0,"",INDEX(加電履歴!$I:$I,MATCH(1,(加電履歴!$F:$F=B46)*(加電履歴!$E:$E="畜種農業")*(加電履歴!$B:$B=MAXIFS(加電履歴!$B:$B,加電履歴!$F:$F,B46,加電履歴!$E:$E,"畜種農業")),0))),"")</f>
        <v/>
      </c>
    </row>
    <row r="47">
      <c r="A47" s="9" t="inlineStr">
        <is>
          <t>道南</t>
        </is>
      </c>
      <c r="B47" s="9" t="inlineStr">
        <is>
          <t>有限会社八雲ファーム</t>
        </is>
      </c>
      <c r="D47" s="9" t="inlineStr">
        <is>
          <t>北海道二海郡八雲町</t>
        </is>
      </c>
      <c r="E47" s="9" t="inlineStr">
        <is>
          <t>不明</t>
        </is>
      </c>
      <c r="F47" s="9" t="inlineStr">
        <is>
          <t>酪農・複合</t>
        </is>
      </c>
      <c r="G47" s="9" t="inlineStr">
        <is>
          <t>八雲町の広大な土地を活かした酪農</t>
        </is>
      </c>
      <c r="H47" s="9" t="inlineStr">
        <is>
          <t>広域な牛群管理をサポートする即戦力の導入</t>
        </is>
      </c>
      <c r="I47" s="9" t="inlineStr">
        <is>
          <t>経営陣</t>
        </is>
      </c>
      <c r="J47" s="9" t="inlineStr">
        <is>
          <t>代表</t>
        </is>
      </c>
      <c r="K47" s="9" t="inlineStr">
        <is>
          <t>不明</t>
        </is>
      </c>
      <c r="L47" s="9" t="inlineStr">
        <is>
          <t>未確認</t>
        </is>
      </c>
      <c r="Q47" s="9" t="inlineStr">
        <is>
          <t>未開拓</t>
        </is>
      </c>
      <c r="R47" s="9" t="inlineStr">
        <is>
          <t>ターゲット</t>
        </is>
      </c>
      <c r="S47" s="9" t="inlineStr">
        <is>
          <t>リストアップ</t>
        </is>
      </c>
      <c r="AH47" s="9" t="inlineStr">
        <is>
          <t>営業推進部</t>
        </is>
      </c>
      <c r="AI47" s="9" t="inlineStr">
        <is>
          <t>武田 悦郎</t>
        </is>
      </c>
      <c r="AP47" s="9" t="inlineStr">
        <is>
          <t>未定</t>
        </is>
      </c>
      <c r="AQ47">
        <f>COUNTIFS(加電履歴!$F:$F,B47,加電履歴!$E:$E,"畜種農業")</f>
        <v/>
      </c>
      <c r="AR47" s="10">
        <f>IFERROR(IF(COUNTIFS(加電履歴!$F:$F,B47,加電履歴!$E:$E,"畜種農業")=0,"",MAXIFS(加電履歴!$B:$B,加電履歴!$F:$F,B47,加電履歴!$E:$E,"畜種農業")),"")</f>
        <v/>
      </c>
      <c r="AS47">
        <f>IFERROR(IF(COUNTIFS(加電履歴!$F:$F,B47,加電履歴!$E:$E,"畜種農業")=0,"",INDEX(加電履歴!$I:$I,MATCH(1,(加電履歴!$F:$F=B47)*(加電履歴!$E:$E="畜種農業")*(加電履歴!$B:$B=MAXIFS(加電履歴!$B:$B,加電履歴!$F:$F,B47,加電履歴!$E:$E,"畜種農業")),0))),"")</f>
        <v/>
      </c>
    </row>
    <row r="48">
      <c r="A48" s="9" t="inlineStr">
        <is>
          <t>道南</t>
        </is>
      </c>
      <c r="B48" s="9" t="inlineStr">
        <is>
          <t>日本フードパッカー株式会社 道南工場</t>
        </is>
      </c>
      <c r="D48" s="9" t="inlineStr">
        <is>
          <t>北海道</t>
        </is>
      </c>
      <c r="E48" s="9" t="inlineStr">
        <is>
          <t>不明</t>
        </is>
      </c>
      <c r="F48" s="9" t="inlineStr">
        <is>
          <t>牛・豚の食肉処理</t>
        </is>
      </c>
      <c r="G48" s="9" t="inlineStr">
        <is>
          <t>処理工場における慢性的な人員不足</t>
        </is>
      </c>
      <c r="H48" s="9" t="inlineStr">
        <is>
          <t>食肉加工現場で即戦力となる特定技能人材の配置</t>
        </is>
      </c>
      <c r="I48" s="9" t="inlineStr">
        <is>
          <t>総務部</t>
        </is>
      </c>
      <c r="J48" s="9" t="inlineStr">
        <is>
          <t>工場長</t>
        </is>
      </c>
      <c r="K48" s="9" t="inlineStr">
        <is>
          <t>不明</t>
        </is>
      </c>
      <c r="L48" s="9" t="inlineStr">
        <is>
          <t>未確認</t>
        </is>
      </c>
      <c r="Q48" s="9" t="inlineStr">
        <is>
          <t>未開拓</t>
        </is>
      </c>
      <c r="R48" s="9" t="inlineStr">
        <is>
          <t>ターゲット</t>
        </is>
      </c>
      <c r="S48" s="9" t="inlineStr">
        <is>
          <t>リストアップ</t>
        </is>
      </c>
      <c r="AH48" s="9" t="inlineStr">
        <is>
          <t>営業推進部</t>
        </is>
      </c>
      <c r="AI48" s="9" t="inlineStr">
        <is>
          <t>武田 悦郎</t>
        </is>
      </c>
      <c r="AP48" s="9" t="inlineStr">
        <is>
          <t>未定</t>
        </is>
      </c>
      <c r="AQ48">
        <f>COUNTIFS(加電履歴!$F:$F,B48,加電履歴!$E:$E,"畜種農業")</f>
        <v/>
      </c>
      <c r="AR48" s="10">
        <f>IFERROR(IF(COUNTIFS(加電履歴!$F:$F,B48,加電履歴!$E:$E,"畜種農業")=0,"",MAXIFS(加電履歴!$B:$B,加電履歴!$F:$F,B48,加電履歴!$E:$E,"畜種農業")),"")</f>
        <v/>
      </c>
      <c r="AS48">
        <f>IFERROR(IF(COUNTIFS(加電履歴!$F:$F,B48,加電履歴!$E:$E,"畜種農業")=0,"",INDEX(加電履歴!$I:$I,MATCH(1,(加電履歴!$F:$F=B48)*(加電履歴!$E:$E="畜種農業")*(加電履歴!$B:$B=MAXIFS(加電履歴!$B:$B,加電履歴!$F:$F,B48,加電履歴!$E:$E,"畜種農業")),0))),"")</f>
        <v/>
      </c>
    </row>
    <row r="49">
      <c r="A49" s="9" t="inlineStr">
        <is>
          <t>道北</t>
        </is>
      </c>
      <c r="B49" s="9" t="inlineStr">
        <is>
          <t>株式会社東武牧場</t>
        </is>
      </c>
      <c r="D49" s="9" t="inlineStr">
        <is>
          <t>北海道士別市武徳町</t>
        </is>
      </c>
      <c r="E49" s="9" t="inlineStr">
        <is>
          <t>0165-23-1548</t>
        </is>
      </c>
      <c r="F49" s="9" t="inlineStr">
        <is>
          <t>素牛育成専門/常時3200頭飼養</t>
        </is>
      </c>
      <c r="G49" s="9" t="inlineStr">
        <is>
          <t>年間5000頭の仔牛育成における健康管理</t>
        </is>
      </c>
      <c r="H49" s="9" t="inlineStr">
        <is>
          <t>ルーティン作業を即戦力に任せ観察に注力</t>
        </is>
      </c>
      <c r="I49" s="9" t="inlineStr">
        <is>
          <t>経営陣</t>
        </is>
      </c>
      <c r="J49" s="9" t="inlineStr">
        <is>
          <t>代表</t>
        </is>
      </c>
      <c r="K49" s="9" t="inlineStr">
        <is>
          <t>不明</t>
        </is>
      </c>
      <c r="L49" s="9" t="inlineStr">
        <is>
          <t>未確認</t>
        </is>
      </c>
      <c r="Q49" s="9" t="inlineStr">
        <is>
          <t>未開拓</t>
        </is>
      </c>
      <c r="R49" s="9" t="inlineStr">
        <is>
          <t>ターゲット</t>
        </is>
      </c>
      <c r="S49" s="9" t="inlineStr">
        <is>
          <t>リストアップ</t>
        </is>
      </c>
      <c r="AG49" s="9" t="inlineStr">
        <is>
          <t>営業推進部</t>
        </is>
      </c>
      <c r="AH49" s="9" t="inlineStr">
        <is>
          <t>武田 悦郎</t>
        </is>
      </c>
      <c r="AN49" s="9" t="inlineStr">
        <is>
          <t>未定</t>
        </is>
      </c>
      <c r="AQ49">
        <f>COUNTIFS(加電履歴!$F:$F,B49,加電履歴!$E:$E,"畜種農業")</f>
        <v/>
      </c>
      <c r="AR49" s="10">
        <f>IFERROR(IF(COUNTIFS(加電履歴!$F:$F,B49,加電履歴!$E:$E,"畜種農業")=0,"",MAXIFS(加電履歴!$B:$B,加電履歴!$F:$F,B49,加電履歴!$E:$E,"畜種農業")),"")</f>
        <v/>
      </c>
      <c r="AS49">
        <f>IFERROR(IF(COUNTIFS(加電履歴!$F:$F,B49,加電履歴!$E:$E,"畜種農業")=0,"",INDEX(加電履歴!$I:$I,MATCH(1,(加電履歴!$F:$F=B49)*(加電履歴!$E:$E="畜種農業")*(加電履歴!$B:$B=MAXIFS(加電履歴!$B:$B,加電履歴!$F:$F,B49,加電履歴!$E:$E,"畜種農業")),0))),"")</f>
        <v/>
      </c>
    </row>
    <row r="50">
      <c r="A50" s="9" t="inlineStr">
        <is>
          <t>道北</t>
        </is>
      </c>
      <c r="B50" s="9" t="inlineStr">
        <is>
          <t>下士別畜産・早川牧場</t>
        </is>
      </c>
      <c r="D50" s="9" t="inlineStr">
        <is>
          <t>北海道士別市下士別町</t>
        </is>
      </c>
      <c r="E50" s="9" t="inlineStr">
        <is>
          <t>0165-23-4171</t>
        </is>
      </c>
      <c r="F50" s="9" t="inlineStr">
        <is>
          <t>肉牛生産/独自ブランド</t>
        </is>
      </c>
      <c r="G50" s="9" t="inlineStr">
        <is>
          <t>良質な肉質を保つための飼育管理</t>
        </is>
      </c>
      <c r="H50" s="9" t="inlineStr">
        <is>
          <t>採用コスト不要の若手人材による基盤強化</t>
        </is>
      </c>
      <c r="I50" s="9" t="inlineStr">
        <is>
          <t>経営陣</t>
        </is>
      </c>
      <c r="J50" s="9" t="inlineStr">
        <is>
          <t>代表</t>
        </is>
      </c>
      <c r="K50" s="9" t="inlineStr">
        <is>
          <t>不明</t>
        </is>
      </c>
      <c r="L50" s="9" t="inlineStr">
        <is>
          <t>未確認</t>
        </is>
      </c>
      <c r="Q50" s="9" t="inlineStr">
        <is>
          <t>未開拓</t>
        </is>
      </c>
      <c r="R50" s="9" t="inlineStr">
        <is>
          <t>ターゲット</t>
        </is>
      </c>
      <c r="S50" s="9" t="inlineStr">
        <is>
          <t>リストアップ</t>
        </is>
      </c>
      <c r="AG50" s="9" t="inlineStr">
        <is>
          <t>営業推進部</t>
        </is>
      </c>
      <c r="AH50" s="9" t="inlineStr">
        <is>
          <t>武田 悦郎</t>
        </is>
      </c>
      <c r="AN50" s="9" t="inlineStr">
        <is>
          <t>未定</t>
        </is>
      </c>
      <c r="AQ50">
        <f>COUNTIFS(加電履歴!$F:$F,B50,加電履歴!$E:$E,"畜種農業")</f>
        <v/>
      </c>
      <c r="AR50" s="10">
        <f>IFERROR(IF(COUNTIFS(加電履歴!$F:$F,B50,加電履歴!$E:$E,"畜種農業")=0,"",MAXIFS(加電履歴!$B:$B,加電履歴!$F:$F,B50,加電履歴!$E:$E,"畜種農業")),"")</f>
        <v/>
      </c>
      <c r="AS50">
        <f>IFERROR(IF(COUNTIFS(加電履歴!$F:$F,B50,加電履歴!$E:$E,"畜種農業")=0,"",INDEX(加電履歴!$I:$I,MATCH(1,(加電履歴!$F:$F=B50)*(加電履歴!$E:$E="畜種農業")*(加電履歴!$B:$B=MAXIFS(加電履歴!$B:$B,加電履歴!$F:$F,B50,加電履歴!$E:$E,"畜種農業")),0))),"")</f>
        <v/>
      </c>
    </row>
    <row r="51">
      <c r="A51" s="9" t="inlineStr">
        <is>
          <t>道北</t>
        </is>
      </c>
      <c r="B51" s="9" t="inlineStr">
        <is>
          <t>美瑛放牧酪農場</t>
        </is>
      </c>
      <c r="D51" s="9" t="inlineStr">
        <is>
          <t>北海道上川郡美瑛町</t>
        </is>
      </c>
      <c r="E51" s="9" t="inlineStr">
        <is>
          <t>0166-95-2277</t>
        </is>
      </c>
      <c r="F51" s="9" t="inlineStr">
        <is>
          <t>通年放牧酪農</t>
        </is>
      </c>
      <c r="G51" s="9" t="inlineStr">
        <is>
          <t>広大な放牧地の管理と業務兼務</t>
        </is>
      </c>
      <c r="H51" s="9" t="inlineStr">
        <is>
          <t>バックヤードの飼育管理を担う人材提供</t>
        </is>
      </c>
      <c r="I51" s="9" t="inlineStr">
        <is>
          <t>経営陣</t>
        </is>
      </c>
      <c r="J51" s="9" t="inlineStr">
        <is>
          <t>代表</t>
        </is>
      </c>
      <c r="K51" s="9" t="inlineStr">
        <is>
          <t>不明</t>
        </is>
      </c>
      <c r="L51" s="9" t="inlineStr">
        <is>
          <t>未確認</t>
        </is>
      </c>
      <c r="Q51" s="9" t="inlineStr">
        <is>
          <t>未開拓</t>
        </is>
      </c>
      <c r="R51" s="9" t="inlineStr">
        <is>
          <t>ターゲット</t>
        </is>
      </c>
      <c r="S51" s="9" t="inlineStr">
        <is>
          <t>リストアップ</t>
        </is>
      </c>
      <c r="AG51" s="9" t="inlineStr">
        <is>
          <t>営業推進部</t>
        </is>
      </c>
      <c r="AH51" s="9" t="inlineStr">
        <is>
          <t>武田 悦郎</t>
        </is>
      </c>
      <c r="AN51" s="9" t="inlineStr">
        <is>
          <t>未定</t>
        </is>
      </c>
      <c r="AQ51">
        <f>COUNTIFS(加電履歴!$F:$F,B51,加電履歴!$E:$E,"畜種農業")</f>
        <v/>
      </c>
      <c r="AR51" s="10">
        <f>IFERROR(IF(COUNTIFS(加電履歴!$F:$F,B51,加電履歴!$E:$E,"畜種農業")=0,"",MAXIFS(加電履歴!$B:$B,加電履歴!$F:$F,B51,加電履歴!$E:$E,"畜種農業")),"")</f>
        <v/>
      </c>
      <c r="AS51">
        <f>IFERROR(IF(COUNTIFS(加電履歴!$F:$F,B51,加電履歴!$E:$E,"畜種農業")=0,"",INDEX(加電履歴!$I:$I,MATCH(1,(加電履歴!$F:$F=B51)*(加電履歴!$E:$E="畜種農業")*(加電履歴!$B:$B=MAXIFS(加電履歴!$B:$B,加電履歴!$F:$F,B51,加電履歴!$E:$E,"畜種農業")),0))),"")</f>
        <v/>
      </c>
    </row>
    <row r="52">
      <c r="A52" s="9" t="inlineStr">
        <is>
          <t>道北</t>
        </is>
      </c>
      <c r="B52" s="9" t="inlineStr">
        <is>
          <t>ファームズ千代田</t>
        </is>
      </c>
      <c r="D52" s="9" t="inlineStr">
        <is>
          <t>北海道上川郡美瑛町</t>
        </is>
      </c>
      <c r="E52" s="9" t="inlineStr">
        <is>
          <t>0166-92-1718</t>
        </is>
      </c>
      <c r="F52" s="9" t="inlineStr">
        <is>
          <t>びえい和牛生産・ふれあい牧場</t>
        </is>
      </c>
      <c r="G52" s="9" t="inlineStr">
        <is>
          <t>畜産・観光の多角化による労働力分散</t>
        </is>
      </c>
      <c r="H52" s="9" t="inlineStr">
        <is>
          <t>各部門へ柔軟に配置できる特定技能人材</t>
        </is>
      </c>
      <c r="I52" s="9" t="inlineStr">
        <is>
          <t>経営陣</t>
        </is>
      </c>
      <c r="J52" s="9" t="inlineStr">
        <is>
          <t>代表</t>
        </is>
      </c>
      <c r="K52" s="9" t="inlineStr">
        <is>
          <t>不明</t>
        </is>
      </c>
      <c r="L52" s="9" t="inlineStr">
        <is>
          <t>未確認</t>
        </is>
      </c>
      <c r="Q52" s="9" t="inlineStr">
        <is>
          <t>未開拓</t>
        </is>
      </c>
      <c r="R52" s="9" t="inlineStr">
        <is>
          <t>ターゲット</t>
        </is>
      </c>
      <c r="S52" s="9" t="inlineStr">
        <is>
          <t>リストアップ</t>
        </is>
      </c>
      <c r="AG52" s="9" t="inlineStr">
        <is>
          <t>営業推進部</t>
        </is>
      </c>
      <c r="AH52" s="9" t="inlineStr">
        <is>
          <t>武田 悦郎</t>
        </is>
      </c>
      <c r="AN52" s="9" t="inlineStr">
        <is>
          <t>未定</t>
        </is>
      </c>
      <c r="AQ52">
        <f>COUNTIFS(加電履歴!$F:$F,B52,加電履歴!$E:$E,"畜種農業")</f>
        <v/>
      </c>
      <c r="AR52" s="10">
        <f>IFERROR(IF(COUNTIFS(加電履歴!$F:$F,B52,加電履歴!$E:$E,"畜種農業")=0,"",MAXIFS(加電履歴!$B:$B,加電履歴!$F:$F,B52,加電履歴!$E:$E,"畜種農業")),"")</f>
        <v/>
      </c>
      <c r="AS52">
        <f>IFERROR(IF(COUNTIFS(加電履歴!$F:$F,B52,加電履歴!$E:$E,"畜種農業")=0,"",INDEX(加電履歴!$I:$I,MATCH(1,(加電履歴!$F:$F=B52)*(加電履歴!$E:$E="畜種農業")*(加電履歴!$B:$B=MAXIFS(加電履歴!$B:$B,加電履歴!$F:$F,B52,加電履歴!$E:$E,"畜種農業")),0))),"")</f>
        <v/>
      </c>
    </row>
    <row r="53">
      <c r="A53" s="9" t="inlineStr">
        <is>
          <t>道北</t>
        </is>
      </c>
      <c r="B53" s="9" t="inlineStr">
        <is>
          <t>富良野牧場</t>
        </is>
      </c>
      <c r="D53" s="9" t="inlineStr">
        <is>
          <t>北海道富良野市</t>
        </is>
      </c>
      <c r="E53" s="9" t="inlineStr">
        <is>
          <t>0167-22-4418</t>
        </is>
      </c>
      <c r="F53" s="9" t="inlineStr">
        <is>
          <t>養豚・ハムソーセージ製造</t>
        </is>
      </c>
      <c r="G53" s="9" t="inlineStr">
        <is>
          <t>製法維持と加工ラインの労働力確保</t>
        </is>
      </c>
      <c r="H53" s="9" t="inlineStr">
        <is>
          <t>製造加工部門で即戦力となる人材の配置</t>
        </is>
      </c>
      <c r="I53" s="9" t="inlineStr">
        <is>
          <t>経営陣</t>
        </is>
      </c>
      <c r="J53" s="9" t="inlineStr">
        <is>
          <t>代表</t>
        </is>
      </c>
      <c r="K53" s="9" t="inlineStr">
        <is>
          <t>不明</t>
        </is>
      </c>
      <c r="L53" s="9" t="inlineStr">
        <is>
          <t>未確認</t>
        </is>
      </c>
      <c r="Q53" s="9" t="inlineStr">
        <is>
          <t>未開拓</t>
        </is>
      </c>
      <c r="R53" s="9" t="inlineStr">
        <is>
          <t>ターゲット</t>
        </is>
      </c>
      <c r="S53" s="9" t="inlineStr">
        <is>
          <t>リストアップ</t>
        </is>
      </c>
      <c r="AG53" s="9" t="inlineStr">
        <is>
          <t>営業推進部</t>
        </is>
      </c>
      <c r="AH53" s="9" t="inlineStr">
        <is>
          <t>武田 悦郎</t>
        </is>
      </c>
      <c r="AN53" s="9" t="inlineStr">
        <is>
          <t>未定</t>
        </is>
      </c>
      <c r="AQ53">
        <f>COUNTIFS(加電履歴!$F:$F,B53,加電履歴!$E:$E,"畜種農業")</f>
        <v/>
      </c>
      <c r="AR53" s="10">
        <f>IFERROR(IF(COUNTIFS(加電履歴!$F:$F,B53,加電履歴!$E:$E,"畜種農業")=0,"",MAXIFS(加電履歴!$B:$B,加電履歴!$F:$F,B53,加電履歴!$E:$E,"畜種農業")),"")</f>
        <v/>
      </c>
      <c r="AS53">
        <f>IFERROR(IF(COUNTIFS(加電履歴!$F:$F,B53,加電履歴!$E:$E,"畜種農業")=0,"",INDEX(加電履歴!$I:$I,MATCH(1,(加電履歴!$F:$F=B53)*(加電履歴!$E:$E="畜種農業")*(加電履歴!$B:$B=MAXIFS(加電履歴!$B:$B,加電履歴!$F:$F,B53,加電履歴!$E:$E,"畜種農業")),0))),"")</f>
        <v/>
      </c>
    </row>
    <row r="54">
      <c r="A54" s="9" t="inlineStr">
        <is>
          <t>道北</t>
        </is>
      </c>
      <c r="B54" s="9" t="inlineStr">
        <is>
          <t>サロベツファーム</t>
        </is>
      </c>
      <c r="D54" s="9" t="inlineStr">
        <is>
          <t>北海道天塩郡豊富町</t>
        </is>
      </c>
      <c r="E54" s="9" t="inlineStr">
        <is>
          <t>0162-82-3232</t>
        </is>
      </c>
      <c r="F54" s="9" t="inlineStr">
        <is>
          <t>食肉加工/独自ブランド</t>
        </is>
      </c>
      <c r="G54" s="9" t="inlineStr">
        <is>
          <t>加工品の生産量維持に伴う人員確保</t>
        </is>
      </c>
      <c r="H54" s="9" t="inlineStr">
        <is>
          <t>採用コストゼロで加工現場の即戦力を提供</t>
        </is>
      </c>
      <c r="I54" s="9" t="inlineStr">
        <is>
          <t>経営陣</t>
        </is>
      </c>
      <c r="J54" s="9" t="inlineStr">
        <is>
          <t>代表</t>
        </is>
      </c>
      <c r="K54" s="9" t="inlineStr">
        <is>
          <t>不明</t>
        </is>
      </c>
      <c r="L54" s="9" t="inlineStr">
        <is>
          <t>未確認</t>
        </is>
      </c>
      <c r="Q54" s="9" t="inlineStr">
        <is>
          <t>未開拓</t>
        </is>
      </c>
      <c r="R54" s="9" t="inlineStr">
        <is>
          <t>ターゲット</t>
        </is>
      </c>
      <c r="S54" s="9" t="inlineStr">
        <is>
          <t>リストアップ</t>
        </is>
      </c>
      <c r="AG54" s="9" t="inlineStr">
        <is>
          <t>営業推進部</t>
        </is>
      </c>
      <c r="AH54" s="9" t="inlineStr">
        <is>
          <t>武田 悦郎</t>
        </is>
      </c>
      <c r="AN54" s="9" t="inlineStr">
        <is>
          <t>未定</t>
        </is>
      </c>
      <c r="AQ54">
        <f>COUNTIFS(加電履歴!$F:$F,B54,加電履歴!$E:$E,"畜種農業")</f>
        <v/>
      </c>
      <c r="AR54" s="10">
        <f>IFERROR(IF(COUNTIFS(加電履歴!$F:$F,B54,加電履歴!$E:$E,"畜種農業")=0,"",MAXIFS(加電履歴!$B:$B,加電履歴!$F:$F,B54,加電履歴!$E:$E,"畜種農業")),"")</f>
        <v/>
      </c>
      <c r="AS54">
        <f>IFERROR(IF(COUNTIFS(加電履歴!$F:$F,B54,加電履歴!$E:$E,"畜種農業")=0,"",INDEX(加電履歴!$I:$I,MATCH(1,(加電履歴!$F:$F=B54)*(加電履歴!$E:$E="畜種農業")*(加電履歴!$B:$B=MAXIFS(加電履歴!$B:$B,加電履歴!$F:$F,B54,加電履歴!$E:$E,"畜種農業")),0))),"")</f>
        <v/>
      </c>
    </row>
    <row r="55">
      <c r="A55" s="9" t="inlineStr">
        <is>
          <t>道北</t>
        </is>
      </c>
      <c r="B55" s="9" t="inlineStr">
        <is>
          <t>豊富牛乳公社</t>
        </is>
      </c>
      <c r="D55" s="9" t="inlineStr">
        <is>
          <t>北海道天塩郡豊富町</t>
        </is>
      </c>
      <c r="E55" s="9" t="inlineStr">
        <is>
          <t>0162-82-1211</t>
        </is>
      </c>
      <c r="F55" s="9" t="inlineStr">
        <is>
          <t>豊富牛乳の製造加工</t>
        </is>
      </c>
      <c r="G55" s="9" t="inlineStr">
        <is>
          <t>製造ラインにおける安定した人員配置</t>
        </is>
      </c>
      <c r="H55" s="9" t="inlineStr">
        <is>
          <t>工場内の製造を担う定住型人材の提案</t>
        </is>
      </c>
      <c r="I55" s="9" t="inlineStr">
        <is>
          <t>管理部</t>
        </is>
      </c>
      <c r="J55" s="9" t="inlineStr">
        <is>
          <t>工場長</t>
        </is>
      </c>
      <c r="K55" s="9" t="inlineStr">
        <is>
          <t>不明</t>
        </is>
      </c>
      <c r="L55" s="9" t="inlineStr">
        <is>
          <t>未確認</t>
        </is>
      </c>
      <c r="Q55" s="9" t="inlineStr">
        <is>
          <t>未開拓</t>
        </is>
      </c>
      <c r="R55" s="9" t="inlineStr">
        <is>
          <t>ターゲット</t>
        </is>
      </c>
      <c r="S55" s="9" t="inlineStr">
        <is>
          <t>リストアップ</t>
        </is>
      </c>
      <c r="AG55" s="9" t="inlineStr">
        <is>
          <t>営業推進部</t>
        </is>
      </c>
      <c r="AH55" s="9" t="inlineStr">
        <is>
          <t>武田 悦郎</t>
        </is>
      </c>
      <c r="AN55" s="9" t="inlineStr">
        <is>
          <t>未定</t>
        </is>
      </c>
      <c r="AQ55">
        <f>COUNTIFS(加電履歴!$F:$F,B55,加電履歴!$E:$E,"畜種農業")</f>
        <v/>
      </c>
      <c r="AR55" s="10">
        <f>IFERROR(IF(COUNTIFS(加電履歴!$F:$F,B55,加電履歴!$E:$E,"畜種農業")=0,"",MAXIFS(加電履歴!$B:$B,加電履歴!$F:$F,B55,加電履歴!$E:$E,"畜種農業")),"")</f>
        <v/>
      </c>
      <c r="AS55">
        <f>IFERROR(IF(COUNTIFS(加電履歴!$F:$F,B55,加電履歴!$E:$E,"畜種農業")=0,"",INDEX(加電履歴!$I:$I,MATCH(1,(加電履歴!$F:$F=B55)*(加電履歴!$E:$E="畜種農業")*(加電履歴!$B:$B=MAXIFS(加電履歴!$B:$B,加電履歴!$F:$F,B55,加電履歴!$E:$E,"畜種農業")),0))),"")</f>
        <v/>
      </c>
    </row>
    <row r="56">
      <c r="A56" s="9" t="inlineStr">
        <is>
          <t>道北</t>
        </is>
      </c>
      <c r="B56" s="9" t="inlineStr">
        <is>
          <t>日本ハム北海道ファクトリー 旭川工場</t>
        </is>
      </c>
      <c r="D56" s="9" t="inlineStr">
        <is>
          <t>北海道旭川市</t>
        </is>
      </c>
      <c r="E56" s="9" t="inlineStr">
        <is>
          <t>0166-48-1211</t>
        </is>
      </c>
      <c r="F56" s="9" t="inlineStr">
        <is>
          <t>食肉加工（美ノ国等）</t>
        </is>
      </c>
      <c r="G56" s="9" t="inlineStr">
        <is>
          <t>年間5,000トン生産体制を支える労働力</t>
        </is>
      </c>
      <c r="H56" s="9" t="inlineStr">
        <is>
          <t>大規模工場における特定技能の通年雇用</t>
        </is>
      </c>
      <c r="I56" s="9" t="inlineStr">
        <is>
          <t>総務部</t>
        </is>
      </c>
      <c r="J56" s="9" t="inlineStr">
        <is>
          <t>工場長</t>
        </is>
      </c>
      <c r="K56" s="9" t="inlineStr">
        <is>
          <t>不明</t>
        </is>
      </c>
      <c r="L56" s="9" t="inlineStr">
        <is>
          <t>未確認</t>
        </is>
      </c>
      <c r="Q56" s="9" t="inlineStr">
        <is>
          <t>未開拓</t>
        </is>
      </c>
      <c r="R56" s="9" t="inlineStr">
        <is>
          <t>ターゲット</t>
        </is>
      </c>
      <c r="S56" s="9" t="inlineStr">
        <is>
          <t>リストアップ</t>
        </is>
      </c>
      <c r="AG56" s="9" t="inlineStr">
        <is>
          <t>営業推進部</t>
        </is>
      </c>
      <c r="AH56" s="9" t="inlineStr">
        <is>
          <t>武田 悦郎</t>
        </is>
      </c>
      <c r="AN56" s="9" t="inlineStr">
        <is>
          <t>未定</t>
        </is>
      </c>
      <c r="AQ56">
        <f>COUNTIFS(加電履歴!$F:$F,B56,加電履歴!$E:$E,"畜種農業")</f>
        <v/>
      </c>
      <c r="AR56" s="10">
        <f>IFERROR(IF(COUNTIFS(加電履歴!$F:$F,B56,加電履歴!$E:$E,"畜種農業")=0,"",MAXIFS(加電履歴!$B:$B,加電履歴!$F:$F,B56,加電履歴!$E:$E,"畜種農業")),"")</f>
        <v/>
      </c>
      <c r="AS56">
        <f>IFERROR(IF(COUNTIFS(加電履歴!$F:$F,B56,加電履歴!$E:$E,"畜種農業")=0,"",INDEX(加電履歴!$I:$I,MATCH(1,(加電履歴!$F:$F=B56)*(加電履歴!$E:$E="畜種農業")*(加電履歴!$B:$B=MAXIFS(加電履歴!$B:$B,加電履歴!$F:$F,B56,加電履歴!$E:$E,"畜種農業")),0))),"")</f>
        <v/>
      </c>
    </row>
    <row r="57">
      <c r="A57" s="9" t="inlineStr">
        <is>
          <t>道北</t>
        </is>
      </c>
      <c r="B57" s="9" t="inlineStr">
        <is>
          <t>東宗谷農業協同組合 猿払畜産事業所</t>
        </is>
      </c>
      <c r="D57" s="9" t="inlineStr">
        <is>
          <t>北海道宗谷郡猿払村</t>
        </is>
      </c>
      <c r="E57" s="9" t="inlineStr">
        <is>
          <t>01635-2-3135</t>
        </is>
      </c>
      <c r="F57" s="9" t="inlineStr">
        <is>
          <t>JA運営事業所・公共牧場</t>
        </is>
      </c>
      <c r="G57" s="9" t="inlineStr">
        <is>
          <t>広大な牧草地の維持・管理</t>
        </is>
      </c>
      <c r="H57" s="9" t="inlineStr">
        <is>
          <t>公共施設の安定稼働を即戦力で支援</t>
        </is>
      </c>
      <c r="I57" s="9" t="inlineStr">
        <is>
          <t>畜産部</t>
        </is>
      </c>
      <c r="J57" s="9" t="inlineStr">
        <is>
          <t>管理者</t>
        </is>
      </c>
      <c r="K57" s="9" t="inlineStr">
        <is>
          <t>不明</t>
        </is>
      </c>
      <c r="L57" s="9" t="inlineStr">
        <is>
          <t>未確認</t>
        </is>
      </c>
      <c r="Q57" s="9" t="inlineStr">
        <is>
          <t>未開拓</t>
        </is>
      </c>
      <c r="R57" s="9" t="inlineStr">
        <is>
          <t>ターゲット</t>
        </is>
      </c>
      <c r="S57" s="9" t="inlineStr">
        <is>
          <t>リストアップ</t>
        </is>
      </c>
      <c r="AG57" s="9" t="inlineStr">
        <is>
          <t>営業推進部</t>
        </is>
      </c>
      <c r="AH57" s="9" t="inlineStr">
        <is>
          <t>武田 悦郎</t>
        </is>
      </c>
      <c r="AN57" s="9" t="inlineStr">
        <is>
          <t>未定</t>
        </is>
      </c>
      <c r="AQ57">
        <f>COUNTIFS(加電履歴!$F:$F,B57,加電履歴!$E:$E,"畜種農業")</f>
        <v/>
      </c>
      <c r="AR57" s="10">
        <f>IFERROR(IF(COUNTIFS(加電履歴!$F:$F,B57,加電履歴!$E:$E,"畜種農業")=0,"",MAXIFS(加電履歴!$B:$B,加電履歴!$F:$F,B57,加電履歴!$E:$E,"畜種農業")),"")</f>
        <v/>
      </c>
      <c r="AS57">
        <f>IFERROR(IF(COUNTIFS(加電履歴!$F:$F,B57,加電履歴!$E:$E,"畜種農業")=0,"",INDEX(加電履歴!$I:$I,MATCH(1,(加電履歴!$F:$F=B57)*(加電履歴!$E:$E="畜種農業")*(加電履歴!$B:$B=MAXIFS(加電履歴!$B:$B,加電履歴!$F:$F,B57,加電履歴!$E:$E,"畜種農業")),0))),"")</f>
        <v/>
      </c>
    </row>
    <row r="58">
      <c r="A58" s="9" t="inlineStr">
        <is>
          <t>道北</t>
        </is>
      </c>
      <c r="B58" s="9" t="inlineStr">
        <is>
          <t>JA北宗谷</t>
        </is>
      </c>
      <c r="D58" s="9" t="inlineStr">
        <is>
          <t>北海道天塩郡豊富町</t>
        </is>
      </c>
      <c r="E58" s="9" t="inlineStr">
        <is>
          <t>0162-82-2112</t>
        </is>
      </c>
      <c r="F58" s="9" t="inlineStr">
        <is>
          <t>豊富・稚内の酪農統括JA</t>
        </is>
      </c>
      <c r="G58" s="9" t="inlineStr">
        <is>
          <t>管内の生乳出荷農家の労働力底上げ</t>
        </is>
      </c>
      <c r="H58" s="9" t="inlineStr">
        <is>
          <t>組合経由での外国人材採用コスト削減モデル</t>
        </is>
      </c>
      <c r="I58" s="9" t="inlineStr">
        <is>
          <t>営農部</t>
        </is>
      </c>
      <c r="J58" s="9" t="inlineStr">
        <is>
          <t>担当者</t>
        </is>
      </c>
      <c r="K58" s="9" t="inlineStr">
        <is>
          <t>不明</t>
        </is>
      </c>
      <c r="L58" s="9" t="inlineStr">
        <is>
          <t>未確認</t>
        </is>
      </c>
      <c r="Q58" s="9" t="inlineStr">
        <is>
          <t>未開拓</t>
        </is>
      </c>
      <c r="R58" s="9" t="inlineStr">
        <is>
          <t>ターゲット</t>
        </is>
      </c>
      <c r="S58" s="9" t="inlineStr">
        <is>
          <t>リストアップ</t>
        </is>
      </c>
      <c r="AG58" s="9" t="inlineStr">
        <is>
          <t>営業推進部</t>
        </is>
      </c>
      <c r="AH58" s="9" t="inlineStr">
        <is>
          <t>武田 悦郎</t>
        </is>
      </c>
      <c r="AN58" s="9" t="inlineStr">
        <is>
          <t>未定</t>
        </is>
      </c>
      <c r="AQ58">
        <f>COUNTIFS(加電履歴!$F:$F,B58,加電履歴!$E:$E,"畜種農業")</f>
        <v/>
      </c>
      <c r="AR58" s="10">
        <f>IFERROR(IF(COUNTIFS(加電履歴!$F:$F,B58,加電履歴!$E:$E,"畜種農業")=0,"",MAXIFS(加電履歴!$B:$B,加電履歴!$F:$F,B58,加電履歴!$E:$E,"畜種農業")),"")</f>
        <v/>
      </c>
      <c r="AS58">
        <f>IFERROR(IF(COUNTIFS(加電履歴!$F:$F,B58,加電履歴!$E:$E,"畜種農業")=0,"",INDEX(加電履歴!$I:$I,MATCH(1,(加電履歴!$F:$F=B58)*(加電履歴!$E:$E="畜種農業")*(加電履歴!$B:$B=MAXIFS(加電履歴!$B:$B,加電履歴!$F:$F,B58,加電履歴!$E:$E,"畜種農業")),0))),"")</f>
        <v/>
      </c>
    </row>
    <row r="59">
      <c r="A59" s="9" t="inlineStr">
        <is>
          <t>道北</t>
        </is>
      </c>
      <c r="B59" s="9" t="inlineStr">
        <is>
          <t>JAひがし宗谷</t>
        </is>
      </c>
      <c r="D59" s="9" t="inlineStr">
        <is>
          <t>北海道枝幸郡浜頓別町</t>
        </is>
      </c>
      <c r="E59" s="9" t="inlineStr">
        <is>
          <t>01634-2-2229</t>
        </is>
      </c>
      <c r="F59" s="9" t="inlineStr">
        <is>
          <t>宗谷東部エリアの農業統括</t>
        </is>
      </c>
      <c r="G59" s="9" t="inlineStr">
        <is>
          <t>地域農家の高齢化と後継者不足</t>
        </is>
      </c>
      <c r="H59" s="9" t="inlineStr">
        <is>
          <t>特定技能人材の紹介を通じた営農基盤の維持</t>
        </is>
      </c>
      <c r="I59" s="9" t="inlineStr">
        <is>
          <t>営農部</t>
        </is>
      </c>
      <c r="J59" s="9" t="inlineStr">
        <is>
          <t>担当者</t>
        </is>
      </c>
      <c r="K59" s="9" t="inlineStr">
        <is>
          <t>不明</t>
        </is>
      </c>
      <c r="L59" s="9" t="inlineStr">
        <is>
          <t>未確認</t>
        </is>
      </c>
      <c r="Q59" s="9" t="inlineStr">
        <is>
          <t>未開拓</t>
        </is>
      </c>
      <c r="R59" s="9" t="inlineStr">
        <is>
          <t>ターゲット</t>
        </is>
      </c>
      <c r="S59" s="9" t="inlineStr">
        <is>
          <t>リストアップ</t>
        </is>
      </c>
      <c r="AG59" s="9" t="inlineStr">
        <is>
          <t>営業推進部</t>
        </is>
      </c>
      <c r="AH59" s="9" t="inlineStr">
        <is>
          <t>武田 悦郎</t>
        </is>
      </c>
      <c r="AN59" s="9" t="inlineStr">
        <is>
          <t>未定</t>
        </is>
      </c>
      <c r="AQ59">
        <f>COUNTIFS(加電履歴!$F:$F,B59,加電履歴!$E:$E,"畜種農業")</f>
        <v/>
      </c>
      <c r="AR59" s="10">
        <f>IFERROR(IF(COUNTIFS(加電履歴!$F:$F,B59,加電履歴!$E:$E,"畜種農業")=0,"",MAXIFS(加電履歴!$B:$B,加電履歴!$F:$F,B59,加電履歴!$E:$E,"畜種農業")),"")</f>
        <v/>
      </c>
      <c r="AS59">
        <f>IFERROR(IF(COUNTIFS(加電履歴!$F:$F,B59,加電履歴!$E:$E,"畜種農業")=0,"",INDEX(加電履歴!$I:$I,MATCH(1,(加電履歴!$F:$F=B59)*(加電履歴!$E:$E="畜種農業")*(加電履歴!$B:$B=MAXIFS(加電履歴!$B:$B,加電履歴!$F:$F,B59,加電履歴!$E:$E,"畜種農業")),0))),"")</f>
        <v/>
      </c>
    </row>
    <row r="60">
      <c r="A60" s="9" t="inlineStr">
        <is>
          <t>道北</t>
        </is>
      </c>
      <c r="B60" s="9" t="inlineStr">
        <is>
          <t>JAわっかない</t>
        </is>
      </c>
      <c r="D60" s="9" t="inlineStr">
        <is>
          <t>北海道稚内市</t>
        </is>
      </c>
      <c r="E60" s="9" t="inlineStr">
        <is>
          <t>0162-33-5151</t>
        </is>
      </c>
      <c r="F60" s="9" t="inlineStr">
        <is>
          <t>稚内市エリアの農業統括</t>
        </is>
      </c>
      <c r="G60" s="9" t="inlineStr">
        <is>
          <t>管内酪農家の労働環境改善</t>
        </is>
      </c>
      <c r="H60" s="9" t="inlineStr">
        <is>
          <t>若手人材の供給ネットワーク構築</t>
        </is>
      </c>
      <c r="I60" s="9" t="inlineStr">
        <is>
          <t>営農部</t>
        </is>
      </c>
      <c r="J60" s="9" t="inlineStr">
        <is>
          <t>担当者</t>
        </is>
      </c>
      <c r="K60" s="9" t="inlineStr">
        <is>
          <t>不明</t>
        </is>
      </c>
      <c r="L60" s="9" t="inlineStr">
        <is>
          <t>未確認</t>
        </is>
      </c>
      <c r="Q60" s="9" t="inlineStr">
        <is>
          <t>未開拓</t>
        </is>
      </c>
      <c r="R60" s="9" t="inlineStr">
        <is>
          <t>ターゲット</t>
        </is>
      </c>
      <c r="S60" s="9" t="inlineStr">
        <is>
          <t>リストアップ</t>
        </is>
      </c>
      <c r="AG60" s="9" t="inlineStr">
        <is>
          <t>営業推進部</t>
        </is>
      </c>
      <c r="AH60" s="9" t="inlineStr">
        <is>
          <t>武田 悦郎</t>
        </is>
      </c>
      <c r="AN60" s="9" t="inlineStr">
        <is>
          <t>未定</t>
        </is>
      </c>
      <c r="AQ60">
        <f>COUNTIFS(加電履歴!$F:$F,B60,加電履歴!$E:$E,"畜種農業")</f>
        <v/>
      </c>
      <c r="AR60" s="10">
        <f>IFERROR(IF(COUNTIFS(加電履歴!$F:$F,B60,加電履歴!$E:$E,"畜種農業")=0,"",MAXIFS(加電履歴!$B:$B,加電履歴!$F:$F,B60,加電履歴!$E:$E,"畜種農業")),"")</f>
        <v/>
      </c>
      <c r="AS60">
        <f>IFERROR(IF(COUNTIFS(加電履歴!$F:$F,B60,加電履歴!$E:$E,"畜種農業")=0,"",INDEX(加電履歴!$I:$I,MATCH(1,(加電履歴!$F:$F=B60)*(加電履歴!$E:$E="畜種農業")*(加電履歴!$B:$B=MAXIFS(加電履歴!$B:$B,加電履歴!$F:$F,B60,加電履歴!$E:$E,"畜種農業")),0))),"")</f>
        <v/>
      </c>
    </row>
    <row r="61">
      <c r="A61" s="9" t="inlineStr">
        <is>
          <t>道北</t>
        </is>
      </c>
      <c r="B61" s="9" t="inlineStr">
        <is>
          <t>JAるもい 本所</t>
        </is>
      </c>
      <c r="D61" s="9" t="inlineStr">
        <is>
          <t>北海道苫前郡羽幌町</t>
        </is>
      </c>
      <c r="E61" s="9" t="inlineStr">
        <is>
          <t>0164-62-2141</t>
        </is>
      </c>
      <c r="F61" s="9" t="inlineStr">
        <is>
          <t>留萌管内広域JA</t>
        </is>
      </c>
      <c r="G61" s="9" t="inlineStr">
        <is>
          <t>広域な組合員農家への支援拡充</t>
        </is>
      </c>
      <c r="H61" s="9" t="inlineStr">
        <is>
          <t>人材紹介サービスを利用したソリューション</t>
        </is>
      </c>
      <c r="I61" s="9" t="inlineStr">
        <is>
          <t>営農部</t>
        </is>
      </c>
      <c r="J61" s="9" t="inlineStr">
        <is>
          <t>担当者</t>
        </is>
      </c>
      <c r="K61" s="9" t="inlineStr">
        <is>
          <t>不明</t>
        </is>
      </c>
      <c r="L61" s="9" t="inlineStr">
        <is>
          <t>未確認</t>
        </is>
      </c>
      <c r="Q61" s="9" t="inlineStr">
        <is>
          <t>未開拓</t>
        </is>
      </c>
      <c r="R61" s="9" t="inlineStr">
        <is>
          <t>ターゲット</t>
        </is>
      </c>
      <c r="S61" s="9" t="inlineStr">
        <is>
          <t>リストアップ</t>
        </is>
      </c>
      <c r="AG61" s="9" t="inlineStr">
        <is>
          <t>営業推進部</t>
        </is>
      </c>
      <c r="AH61" s="9" t="inlineStr">
        <is>
          <t>武田 悦郎</t>
        </is>
      </c>
      <c r="AN61" s="9" t="inlineStr">
        <is>
          <t>未定</t>
        </is>
      </c>
      <c r="AQ61">
        <f>COUNTIFS(加電履歴!$F:$F,B61,加電履歴!$E:$E,"畜種農業")</f>
        <v/>
      </c>
      <c r="AR61" s="10">
        <f>IFERROR(IF(COUNTIFS(加電履歴!$F:$F,B61,加電履歴!$E:$E,"畜種農業")=0,"",MAXIFS(加電履歴!$B:$B,加電履歴!$F:$F,B61,加電履歴!$E:$E,"畜種農業")),"")</f>
        <v/>
      </c>
      <c r="AS61">
        <f>IFERROR(IF(COUNTIFS(加電履歴!$F:$F,B61,加電履歴!$E:$E,"畜種農業")=0,"",INDEX(加電履歴!$I:$I,MATCH(1,(加電履歴!$F:$F=B61)*(加電履歴!$E:$E="畜種農業")*(加電履歴!$B:$B=MAXIFS(加電履歴!$B:$B,加電履歴!$F:$F,B61,加電履歴!$E:$E,"畜種農業")),0))),"")</f>
        <v/>
      </c>
    </row>
    <row r="62">
      <c r="A62" s="9" t="inlineStr">
        <is>
          <t>道北</t>
        </is>
      </c>
      <c r="B62" s="9" t="inlineStr">
        <is>
          <t>JAるもい 遠別支所</t>
        </is>
      </c>
      <c r="D62" s="9" t="inlineStr">
        <is>
          <t>北海道天塩郡遠別町</t>
        </is>
      </c>
      <c r="E62" s="9" t="inlineStr">
        <is>
          <t>01632-7-2511</t>
        </is>
      </c>
      <c r="F62" s="9" t="inlineStr">
        <is>
          <t>留萌北部エリアの農業支援</t>
        </is>
      </c>
      <c r="G62" s="9" t="inlineStr">
        <is>
          <t>地域過疎化に伴う担い手不足</t>
        </is>
      </c>
      <c r="H62" s="9" t="inlineStr">
        <is>
          <t>長期就労可能な特定技能の提案</t>
        </is>
      </c>
      <c r="I62" s="9" t="inlineStr">
        <is>
          <t>営農課</t>
        </is>
      </c>
      <c r="J62" s="9" t="inlineStr">
        <is>
          <t>担当者</t>
        </is>
      </c>
      <c r="K62" s="9" t="inlineStr">
        <is>
          <t>不明</t>
        </is>
      </c>
      <c r="L62" s="9" t="inlineStr">
        <is>
          <t>未確認</t>
        </is>
      </c>
      <c r="Q62" s="9" t="inlineStr">
        <is>
          <t>未開拓</t>
        </is>
      </c>
      <c r="R62" s="9" t="inlineStr">
        <is>
          <t>ターゲット</t>
        </is>
      </c>
      <c r="S62" s="9" t="inlineStr">
        <is>
          <t>リストアップ</t>
        </is>
      </c>
      <c r="AG62" s="9" t="inlineStr">
        <is>
          <t>営業推進部</t>
        </is>
      </c>
      <c r="AH62" s="9" t="inlineStr">
        <is>
          <t>武田 悦郎</t>
        </is>
      </c>
      <c r="AN62" s="9" t="inlineStr">
        <is>
          <t>未定</t>
        </is>
      </c>
      <c r="AQ62">
        <f>COUNTIFS(加電履歴!$F:$F,B62,加電履歴!$E:$E,"畜種農業")</f>
        <v/>
      </c>
      <c r="AR62" s="10">
        <f>IFERROR(IF(COUNTIFS(加電履歴!$F:$F,B62,加電履歴!$E:$E,"畜種農業")=0,"",MAXIFS(加電履歴!$B:$B,加電履歴!$F:$F,B62,加電履歴!$E:$E,"畜種農業")),"")</f>
        <v/>
      </c>
      <c r="AS62">
        <f>IFERROR(IF(COUNTIFS(加電履歴!$F:$F,B62,加電履歴!$E:$E,"畜種農業")=0,"",INDEX(加電履歴!$I:$I,MATCH(1,(加電履歴!$F:$F=B62)*(加電履歴!$E:$E="畜種農業")*(加電履歴!$B:$B=MAXIFS(加電履歴!$B:$B,加電履歴!$F:$F,B62,加電履歴!$E:$E,"畜種農業")),0))),"")</f>
        <v/>
      </c>
    </row>
    <row r="63">
      <c r="A63" s="9" t="inlineStr">
        <is>
          <t>道北</t>
        </is>
      </c>
      <c r="B63" s="9" t="inlineStr">
        <is>
          <t>JAふらの</t>
        </is>
      </c>
      <c r="D63" s="9" t="inlineStr">
        <is>
          <t>北海道富良野市</t>
        </is>
      </c>
      <c r="E63" s="9" t="inlineStr">
        <is>
          <t>0167-23-3532</t>
        </is>
      </c>
      <c r="F63" s="9" t="inlineStr">
        <is>
          <t>富良野エリアの農業統括</t>
        </is>
      </c>
      <c r="G63" s="9" t="inlineStr">
        <is>
          <t>複合農業における農繁期の重なり</t>
        </is>
      </c>
      <c r="H63" s="9" t="inlineStr">
        <is>
          <t>柔軟に対応できる人材の管内配置</t>
        </is>
      </c>
      <c r="I63" s="9" t="inlineStr">
        <is>
          <t>営農部</t>
        </is>
      </c>
      <c r="J63" s="9" t="inlineStr">
        <is>
          <t>担当者</t>
        </is>
      </c>
      <c r="K63" s="9" t="inlineStr">
        <is>
          <t>不明</t>
        </is>
      </c>
      <c r="L63" s="9" t="inlineStr">
        <is>
          <t>未確認</t>
        </is>
      </c>
      <c r="Q63" s="9" t="inlineStr">
        <is>
          <t>未開拓</t>
        </is>
      </c>
      <c r="R63" s="9" t="inlineStr">
        <is>
          <t>ターゲット</t>
        </is>
      </c>
      <c r="S63" s="9" t="inlineStr">
        <is>
          <t>リストアップ</t>
        </is>
      </c>
      <c r="AG63" s="9" t="inlineStr">
        <is>
          <t>営業推進部</t>
        </is>
      </c>
      <c r="AH63" s="9" t="inlineStr">
        <is>
          <t>武田 悦郎</t>
        </is>
      </c>
      <c r="AN63" s="9" t="inlineStr">
        <is>
          <t>未定</t>
        </is>
      </c>
      <c r="AQ63">
        <f>COUNTIFS(加電履歴!$F:$F,B63,加電履歴!$E:$E,"畜種農業")</f>
        <v/>
      </c>
      <c r="AR63" s="10">
        <f>IFERROR(IF(COUNTIFS(加電履歴!$F:$F,B63,加電履歴!$E:$E,"畜種農業")=0,"",MAXIFS(加電履歴!$B:$B,加電履歴!$F:$F,B63,加電履歴!$E:$E,"畜種農業")),"")</f>
        <v/>
      </c>
      <c r="AS63">
        <f>IFERROR(IF(COUNTIFS(加電履歴!$F:$F,B63,加電履歴!$E:$E,"畜種農業")=0,"",INDEX(加電履歴!$I:$I,MATCH(1,(加電履歴!$F:$F=B63)*(加電履歴!$E:$E="畜種農業")*(加電履歴!$B:$B=MAXIFS(加電履歴!$B:$B,加電履歴!$F:$F,B63,加電履歴!$E:$E,"畜種農業")),0))),"")</f>
        <v/>
      </c>
    </row>
    <row r="64">
      <c r="A64" s="9" t="inlineStr">
        <is>
          <t>道北</t>
        </is>
      </c>
      <c r="B64" s="9" t="inlineStr">
        <is>
          <t>JAあさひかわ</t>
        </is>
      </c>
      <c r="D64" s="9" t="inlineStr">
        <is>
          <t>北海道旭川市</t>
        </is>
      </c>
      <c r="E64" s="9" t="inlineStr">
        <is>
          <t>0166-48-5522</t>
        </is>
      </c>
      <c r="F64" s="9" t="inlineStr">
        <is>
          <t>旭川エリアの農業統括</t>
        </is>
      </c>
      <c r="G64" s="9" t="inlineStr">
        <is>
          <t>都市近郊農業の維持と発展</t>
        </is>
      </c>
      <c r="H64" s="9" t="inlineStr">
        <is>
          <t>採用コスト不要の即戦力人材の提供</t>
        </is>
      </c>
      <c r="I64" s="9" t="inlineStr">
        <is>
          <t>営農部</t>
        </is>
      </c>
      <c r="J64" s="9" t="inlineStr">
        <is>
          <t>担当者</t>
        </is>
      </c>
      <c r="K64" s="9" t="inlineStr">
        <is>
          <t>不明</t>
        </is>
      </c>
      <c r="L64" s="9" t="inlineStr">
        <is>
          <t>未確認</t>
        </is>
      </c>
      <c r="Q64" s="9" t="inlineStr">
        <is>
          <t>未開拓</t>
        </is>
      </c>
      <c r="R64" s="9" t="inlineStr">
        <is>
          <t>ターゲット</t>
        </is>
      </c>
      <c r="S64" s="9" t="inlineStr">
        <is>
          <t>リストアップ</t>
        </is>
      </c>
      <c r="AG64" s="9" t="inlineStr">
        <is>
          <t>営業推進部</t>
        </is>
      </c>
      <c r="AH64" s="9" t="inlineStr">
        <is>
          <t>武田 悦郎</t>
        </is>
      </c>
      <c r="AN64" s="9" t="inlineStr">
        <is>
          <t>未定</t>
        </is>
      </c>
      <c r="AQ64">
        <f>COUNTIFS(加電履歴!$F:$F,B64,加電履歴!$E:$E,"畜種農業")</f>
        <v/>
      </c>
      <c r="AR64" s="10">
        <f>IFERROR(IF(COUNTIFS(加電履歴!$F:$F,B64,加電履歴!$E:$E,"畜種農業")=0,"",MAXIFS(加電履歴!$B:$B,加電履歴!$F:$F,B64,加電履歴!$E:$E,"畜種農業")),"")</f>
        <v/>
      </c>
      <c r="AS64">
        <f>IFERROR(IF(COUNTIFS(加電履歴!$F:$F,B64,加電履歴!$E:$E,"畜種農業")=0,"",INDEX(加電履歴!$I:$I,MATCH(1,(加電履歴!$F:$F=B64)*(加電履歴!$E:$E="畜種農業")*(加電履歴!$B:$B=MAXIFS(加電履歴!$B:$B,加電履歴!$F:$F,B64,加電履歴!$E:$E,"畜種農業")),0))),"")</f>
        <v/>
      </c>
    </row>
    <row r="65">
      <c r="A65" s="9" t="inlineStr">
        <is>
          <t>道北</t>
        </is>
      </c>
      <c r="B65" s="9" t="inlineStr">
        <is>
          <t>JAたいせつ</t>
        </is>
      </c>
      <c r="D65" s="9" t="inlineStr">
        <is>
          <t>北海道旭川市</t>
        </is>
      </c>
      <c r="E65" s="9" t="inlineStr">
        <is>
          <t>0166-57-2331</t>
        </is>
      </c>
      <c r="F65" s="9" t="inlineStr">
        <is>
          <t>大雪エリアの農業統括</t>
        </is>
      </c>
      <c r="G65" s="9" t="inlineStr">
        <is>
          <t>人材不足解消策の提示</t>
        </is>
      </c>
      <c r="H65" s="9" t="inlineStr">
        <is>
          <t>営農基盤の維持に向けた人材案内</t>
        </is>
      </c>
      <c r="I65" s="9" t="inlineStr">
        <is>
          <t>営農部</t>
        </is>
      </c>
      <c r="J65" s="9" t="inlineStr">
        <is>
          <t>担当者</t>
        </is>
      </c>
      <c r="K65" s="9" t="inlineStr">
        <is>
          <t>不明</t>
        </is>
      </c>
      <c r="L65" s="9" t="inlineStr">
        <is>
          <t>未確認</t>
        </is>
      </c>
      <c r="Q65" s="9" t="inlineStr">
        <is>
          <t>未開拓</t>
        </is>
      </c>
      <c r="R65" s="9" t="inlineStr">
        <is>
          <t>ターゲット</t>
        </is>
      </c>
      <c r="S65" s="9" t="inlineStr">
        <is>
          <t>リストアップ</t>
        </is>
      </c>
      <c r="AG65" s="9" t="inlineStr">
        <is>
          <t>営業推進部</t>
        </is>
      </c>
      <c r="AH65" s="9" t="inlineStr">
        <is>
          <t>武田 悦郎</t>
        </is>
      </c>
      <c r="AN65" s="9" t="inlineStr">
        <is>
          <t>未定</t>
        </is>
      </c>
      <c r="AQ65">
        <f>COUNTIFS(加電履歴!$F:$F,B65,加電履歴!$E:$E,"畜種農業")</f>
        <v/>
      </c>
      <c r="AR65" s="10">
        <f>IFERROR(IF(COUNTIFS(加電履歴!$F:$F,B65,加電履歴!$E:$E,"畜種農業")=0,"",MAXIFS(加電履歴!$B:$B,加電履歴!$F:$F,B65,加電履歴!$E:$E,"畜種農業")),"")</f>
        <v/>
      </c>
      <c r="AS65">
        <f>IFERROR(IF(COUNTIFS(加電履歴!$F:$F,B65,加電履歴!$E:$E,"畜種農業")=0,"",INDEX(加電履歴!$I:$I,MATCH(1,(加電履歴!$F:$F=B65)*(加電履歴!$E:$E="畜種農業")*(加電履歴!$B:$B=MAXIFS(加電履歴!$B:$B,加電履歴!$F:$F,B65,加電履歴!$E:$E,"畜種農業")),0))),"")</f>
        <v/>
      </c>
    </row>
    <row r="66">
      <c r="A66" s="9" t="inlineStr">
        <is>
          <t>道北</t>
        </is>
      </c>
      <c r="B66" s="9" t="inlineStr">
        <is>
          <t>JAなよろ</t>
        </is>
      </c>
      <c r="D66" s="9" t="inlineStr">
        <is>
          <t>北海道名寄市</t>
        </is>
      </c>
      <c r="E66" s="9" t="inlineStr">
        <is>
          <t>01654-2-2131</t>
        </is>
      </c>
      <c r="F66" s="9" t="inlineStr">
        <is>
          <t>名寄エリアの農業統括</t>
        </is>
      </c>
      <c r="G66" s="9" t="inlineStr">
        <is>
          <t>畜産・酪農家向けの人材供給</t>
        </is>
      </c>
      <c r="H66" s="9" t="inlineStr">
        <is>
          <t>定住型人材による地域振興</t>
        </is>
      </c>
      <c r="I66" s="9" t="inlineStr">
        <is>
          <t>営農部</t>
        </is>
      </c>
      <c r="J66" s="9" t="inlineStr">
        <is>
          <t>担当者</t>
        </is>
      </c>
      <c r="K66" s="9" t="inlineStr">
        <is>
          <t>不明</t>
        </is>
      </c>
      <c r="L66" s="9" t="inlineStr">
        <is>
          <t>未確認</t>
        </is>
      </c>
      <c r="Q66" s="9" t="inlineStr">
        <is>
          <t>未開拓</t>
        </is>
      </c>
      <c r="R66" s="9" t="inlineStr">
        <is>
          <t>ターゲット</t>
        </is>
      </c>
      <c r="S66" s="9" t="inlineStr">
        <is>
          <t>リストアップ</t>
        </is>
      </c>
      <c r="AG66" s="9" t="inlineStr">
        <is>
          <t>営業推進部</t>
        </is>
      </c>
      <c r="AH66" s="9" t="inlineStr">
        <is>
          <t>武田 悦郎</t>
        </is>
      </c>
      <c r="AN66" s="9" t="inlineStr">
        <is>
          <t>未定</t>
        </is>
      </c>
      <c r="AQ66">
        <f>COUNTIFS(加電履歴!$F:$F,B66,加電履歴!$E:$E,"畜種農業")</f>
        <v/>
      </c>
      <c r="AR66" s="10">
        <f>IFERROR(IF(COUNTIFS(加電履歴!$F:$F,B66,加電履歴!$E:$E,"畜種農業")=0,"",MAXIFS(加電履歴!$B:$B,加電履歴!$F:$F,B66,加電履歴!$E:$E,"畜種農業")),"")</f>
        <v/>
      </c>
      <c r="AS66">
        <f>IFERROR(IF(COUNTIFS(加電履歴!$F:$F,B66,加電履歴!$E:$E,"畜種農業")=0,"",INDEX(加電履歴!$I:$I,MATCH(1,(加電履歴!$F:$F=B66)*(加電履歴!$E:$E="畜種農業")*(加電履歴!$B:$B=MAXIFS(加電履歴!$B:$B,加電履歴!$F:$F,B66,加電履歴!$E:$E,"畜種農業")),0))),"")</f>
        <v/>
      </c>
    </row>
    <row r="67">
      <c r="A67" s="9" t="inlineStr">
        <is>
          <t>道北</t>
        </is>
      </c>
      <c r="B67" s="9" t="inlineStr">
        <is>
          <t>JA北ひびき</t>
        </is>
      </c>
      <c r="D67" s="9" t="inlineStr">
        <is>
          <t>北海道士別市</t>
        </is>
      </c>
      <c r="E67" s="9" t="inlineStr">
        <is>
          <t>0165-23-2141</t>
        </is>
      </c>
      <c r="F67" s="9" t="inlineStr">
        <is>
          <t>士別・剣淵エリア統括</t>
        </is>
      </c>
      <c r="G67" s="9" t="inlineStr">
        <is>
          <t>肉牛・酪農家への労働力底上げ</t>
        </is>
      </c>
      <c r="H67" s="9" t="inlineStr">
        <is>
          <t>組合経由での労働力確保支援</t>
        </is>
      </c>
      <c r="I67" s="9" t="inlineStr">
        <is>
          <t>営農部</t>
        </is>
      </c>
      <c r="J67" s="9" t="inlineStr">
        <is>
          <t>担当者</t>
        </is>
      </c>
      <c r="K67" s="9" t="inlineStr">
        <is>
          <t>不明</t>
        </is>
      </c>
      <c r="L67" s="9" t="inlineStr">
        <is>
          <t>未確認</t>
        </is>
      </c>
      <c r="Q67" s="9" t="inlineStr">
        <is>
          <t>未開拓</t>
        </is>
      </c>
      <c r="R67" s="9" t="inlineStr">
        <is>
          <t>ターゲット</t>
        </is>
      </c>
      <c r="S67" s="9" t="inlineStr">
        <is>
          <t>リストアップ</t>
        </is>
      </c>
      <c r="AG67" s="9" t="inlineStr">
        <is>
          <t>営業推進部</t>
        </is>
      </c>
      <c r="AH67" s="9" t="inlineStr">
        <is>
          <t>武田 悦郎</t>
        </is>
      </c>
      <c r="AN67" s="9" t="inlineStr">
        <is>
          <t>未定</t>
        </is>
      </c>
      <c r="AQ67">
        <f>COUNTIFS(加電履歴!$F:$F,B67,加電履歴!$E:$E,"畜種農業")</f>
        <v/>
      </c>
      <c r="AR67" s="10">
        <f>IFERROR(IF(COUNTIFS(加電履歴!$F:$F,B67,加電履歴!$E:$E,"畜種農業")=0,"",MAXIFS(加電履歴!$B:$B,加電履歴!$F:$F,B67,加電履歴!$E:$E,"畜種農業")),"")</f>
        <v/>
      </c>
      <c r="AS67">
        <f>IFERROR(IF(COUNTIFS(加電履歴!$F:$F,B67,加電履歴!$E:$E,"畜種農業")=0,"",INDEX(加電履歴!$I:$I,MATCH(1,(加電履歴!$F:$F=B67)*(加電履歴!$E:$E="畜種農業")*(加電履歴!$B:$B=MAXIFS(加電履歴!$B:$B,加電履歴!$F:$F,B67,加電履歴!$E:$E,"畜種農業")),0))),"")</f>
        <v/>
      </c>
    </row>
    <row r="68">
      <c r="A68" s="9" t="inlineStr">
        <is>
          <t>道北</t>
        </is>
      </c>
      <c r="B68" s="9" t="inlineStr">
        <is>
          <t>JAびえい</t>
        </is>
      </c>
      <c r="D68" s="9" t="inlineStr">
        <is>
          <t>北海道上川郡美瑛町</t>
        </is>
      </c>
      <c r="E68" s="9" t="inlineStr">
        <is>
          <t>0166-92-3111</t>
        </is>
      </c>
      <c r="F68" s="9" t="inlineStr">
        <is>
          <t>美瑛エリアの農業統括</t>
        </is>
      </c>
      <c r="G68" s="9" t="inlineStr">
        <is>
          <t>畑作と畜産の複合経営支援</t>
        </is>
      </c>
      <c r="H68" s="9" t="inlineStr">
        <is>
          <t>多様な作業に対応できる人材の提案</t>
        </is>
      </c>
      <c r="I68" s="9" t="inlineStr">
        <is>
          <t>営農部</t>
        </is>
      </c>
      <c r="J68" s="9" t="inlineStr">
        <is>
          <t>担当者</t>
        </is>
      </c>
      <c r="K68" s="9" t="inlineStr">
        <is>
          <t>不明</t>
        </is>
      </c>
      <c r="L68" s="9" t="inlineStr">
        <is>
          <t>未確認</t>
        </is>
      </c>
      <c r="Q68" s="9" t="inlineStr">
        <is>
          <t>未開拓</t>
        </is>
      </c>
      <c r="R68" s="9" t="inlineStr">
        <is>
          <t>ターゲット</t>
        </is>
      </c>
      <c r="S68" s="9" t="inlineStr">
        <is>
          <t>リストアップ</t>
        </is>
      </c>
      <c r="AG68" s="9" t="inlineStr">
        <is>
          <t>営業推進部</t>
        </is>
      </c>
      <c r="AH68" s="9" t="inlineStr">
        <is>
          <t>武田 悦郎</t>
        </is>
      </c>
      <c r="AN68" s="9" t="inlineStr">
        <is>
          <t>未定</t>
        </is>
      </c>
      <c r="AQ68">
        <f>COUNTIFS(加電履歴!$F:$F,B68,加電履歴!$E:$E,"畜種農業")</f>
        <v/>
      </c>
      <c r="AR68" s="10">
        <f>IFERROR(IF(COUNTIFS(加電履歴!$F:$F,B68,加電履歴!$E:$E,"畜種農業")=0,"",MAXIFS(加電履歴!$B:$B,加電履歴!$F:$F,B68,加電履歴!$E:$E,"畜種農業")),"")</f>
        <v/>
      </c>
      <c r="AS68">
        <f>IFERROR(IF(COUNTIFS(加電履歴!$F:$F,B68,加電履歴!$E:$E,"畜種農業")=0,"",INDEX(加電履歴!$I:$I,MATCH(1,(加電履歴!$F:$F=B68)*(加電履歴!$E:$E="畜種農業")*(加電履歴!$B:$B=MAXIFS(加電履歴!$B:$B,加電履歴!$F:$F,B68,加電履歴!$E:$E,"畜種農業")),0))),"")</f>
        <v/>
      </c>
    </row>
    <row r="69">
      <c r="A69" s="9" t="inlineStr">
        <is>
          <t>道北</t>
        </is>
      </c>
      <c r="B69" s="9" t="inlineStr">
        <is>
          <t>JA当麻</t>
        </is>
      </c>
      <c r="D69" s="9" t="inlineStr">
        <is>
          <t>北海道上川郡当麻町</t>
        </is>
      </c>
      <c r="E69" s="9" t="inlineStr">
        <is>
          <t>0166-84-3311</t>
        </is>
      </c>
      <c r="F69" s="9" t="inlineStr">
        <is>
          <t>当麻エリアの農業統括</t>
        </is>
      </c>
      <c r="G69" s="9" t="inlineStr">
        <is>
          <t>安定した地域農業の担い手確保</t>
        </is>
      </c>
      <c r="H69" s="9" t="inlineStr">
        <is>
          <t>採用コストを抑えた人材紹介モデル</t>
        </is>
      </c>
      <c r="I69" s="9" t="inlineStr">
        <is>
          <t>営農部</t>
        </is>
      </c>
      <c r="J69" s="9" t="inlineStr">
        <is>
          <t>担当者</t>
        </is>
      </c>
      <c r="K69" s="9" t="inlineStr">
        <is>
          <t>不明</t>
        </is>
      </c>
      <c r="L69" s="9" t="inlineStr">
        <is>
          <t>未確認</t>
        </is>
      </c>
      <c r="Q69" s="9" t="inlineStr">
        <is>
          <t>未開拓</t>
        </is>
      </c>
      <c r="R69" s="9" t="inlineStr">
        <is>
          <t>ターゲット</t>
        </is>
      </c>
      <c r="S69" s="9" t="inlineStr">
        <is>
          <t>リストアップ</t>
        </is>
      </c>
      <c r="AG69" s="9" t="inlineStr">
        <is>
          <t>営業推進部</t>
        </is>
      </c>
      <c r="AH69" s="9" t="inlineStr">
        <is>
          <t>武田 悦郎</t>
        </is>
      </c>
      <c r="AN69" s="9" t="inlineStr">
        <is>
          <t>未定</t>
        </is>
      </c>
      <c r="AQ69">
        <f>COUNTIFS(加電履歴!$F:$F,B69,加電履歴!$E:$E,"畜種農業")</f>
        <v/>
      </c>
      <c r="AR69" s="10">
        <f>IFERROR(IF(COUNTIFS(加電履歴!$F:$F,B69,加電履歴!$E:$E,"畜種農業")=0,"",MAXIFS(加電履歴!$B:$B,加電履歴!$F:$F,B69,加電履歴!$E:$E,"畜種農業")),"")</f>
        <v/>
      </c>
      <c r="AS69">
        <f>IFERROR(IF(COUNTIFS(加電履歴!$F:$F,B69,加電履歴!$E:$E,"畜種農業")=0,"",INDEX(加電履歴!$I:$I,MATCH(1,(加電履歴!$F:$F=B69)*(加電履歴!$E:$E="畜種農業")*(加電履歴!$B:$B=MAXIFS(加電履歴!$B:$B,加電履歴!$F:$F,B69,加電履歴!$E:$E,"畜種農業")),0))),"")</f>
        <v/>
      </c>
    </row>
    <row r="70">
      <c r="A70" s="9" t="inlineStr">
        <is>
          <t>道北</t>
        </is>
      </c>
      <c r="B70" s="9" t="inlineStr">
        <is>
          <t>ホクレン 旭川支所</t>
        </is>
      </c>
      <c r="D70" s="9" t="inlineStr">
        <is>
          <t>北海道旭川市</t>
        </is>
      </c>
      <c r="E70" s="9" t="inlineStr">
        <is>
          <t>0166-23-4171</t>
        </is>
      </c>
      <c r="F70" s="9" t="inlineStr">
        <is>
          <t>上川エリアのホクレン拠点</t>
        </is>
      </c>
      <c r="G70" s="9" t="inlineStr">
        <is>
          <t>広域エリアの流通を支える基盤</t>
        </is>
      </c>
      <c r="H70" s="9" t="inlineStr">
        <is>
          <t>人材確保モデルの情報提供</t>
        </is>
      </c>
      <c r="I70" s="9" t="inlineStr">
        <is>
          <t>管理部</t>
        </is>
      </c>
      <c r="J70" s="9" t="inlineStr">
        <is>
          <t>担当者</t>
        </is>
      </c>
      <c r="K70" s="9" t="inlineStr">
        <is>
          <t>不明</t>
        </is>
      </c>
      <c r="L70" s="9" t="inlineStr">
        <is>
          <t>未確認</t>
        </is>
      </c>
      <c r="Q70" s="9" t="inlineStr">
        <is>
          <t>未開拓</t>
        </is>
      </c>
      <c r="R70" s="9" t="inlineStr">
        <is>
          <t>ターゲット</t>
        </is>
      </c>
      <c r="S70" s="9" t="inlineStr">
        <is>
          <t>リストアップ</t>
        </is>
      </c>
      <c r="AG70" s="9" t="inlineStr">
        <is>
          <t>営業推進部</t>
        </is>
      </c>
      <c r="AH70" s="9" t="inlineStr">
        <is>
          <t>武田 悦郎</t>
        </is>
      </c>
      <c r="AN70" s="9" t="inlineStr">
        <is>
          <t>未定</t>
        </is>
      </c>
      <c r="AQ70">
        <f>COUNTIFS(加電履歴!$F:$F,B70,加電履歴!$E:$E,"畜種農業")</f>
        <v/>
      </c>
      <c r="AR70" s="10">
        <f>IFERROR(IF(COUNTIFS(加電履歴!$F:$F,B70,加電履歴!$E:$E,"畜種農業")=0,"",MAXIFS(加電履歴!$B:$B,加電履歴!$F:$F,B70,加電履歴!$E:$E,"畜種農業")),"")</f>
        <v/>
      </c>
      <c r="AS70">
        <f>IFERROR(IF(COUNTIFS(加電履歴!$F:$F,B70,加電履歴!$E:$E,"畜種農業")=0,"",INDEX(加電履歴!$I:$I,MATCH(1,(加電履歴!$F:$F=B70)*(加電履歴!$E:$E="畜種農業")*(加電履歴!$B:$B=MAXIFS(加電履歴!$B:$B,加電履歴!$F:$F,B70,加電履歴!$E:$E,"畜種農業")),0))),"")</f>
        <v/>
      </c>
    </row>
    <row r="71">
      <c r="A71" s="9" t="inlineStr">
        <is>
          <t>道北</t>
        </is>
      </c>
      <c r="B71" s="9" t="inlineStr">
        <is>
          <t>ホクレン 稚内支所</t>
        </is>
      </c>
      <c r="D71" s="9" t="inlineStr">
        <is>
          <t>北海道稚内市</t>
        </is>
      </c>
      <c r="E71" s="9" t="inlineStr">
        <is>
          <t>0162-23-3456</t>
        </is>
      </c>
      <c r="F71" s="9" t="inlineStr">
        <is>
          <t>宗谷エリアのホクレン拠点</t>
        </is>
      </c>
      <c r="G71" s="9" t="inlineStr">
        <is>
          <t>酪農地帯における集約的支援</t>
        </is>
      </c>
      <c r="H71" s="9" t="inlineStr">
        <is>
          <t>メガファーム等への人材供給網構築</t>
        </is>
      </c>
      <c r="I71" s="9" t="inlineStr">
        <is>
          <t>管理部</t>
        </is>
      </c>
      <c r="J71" s="9" t="inlineStr">
        <is>
          <t>担当者</t>
        </is>
      </c>
      <c r="K71" s="9" t="inlineStr">
        <is>
          <t>不明</t>
        </is>
      </c>
      <c r="L71" s="9" t="inlineStr">
        <is>
          <t>未確認</t>
        </is>
      </c>
      <c r="Q71" s="9" t="inlineStr">
        <is>
          <t>未開拓</t>
        </is>
      </c>
      <c r="R71" s="9" t="inlineStr">
        <is>
          <t>ターゲット</t>
        </is>
      </c>
      <c r="S71" s="9" t="inlineStr">
        <is>
          <t>リストアップ</t>
        </is>
      </c>
      <c r="AG71" s="9" t="inlineStr">
        <is>
          <t>営業推進部</t>
        </is>
      </c>
      <c r="AH71" s="9" t="inlineStr">
        <is>
          <t>武田 悦郎</t>
        </is>
      </c>
      <c r="AN71" s="9" t="inlineStr">
        <is>
          <t>未定</t>
        </is>
      </c>
      <c r="AQ71">
        <f>COUNTIFS(加電履歴!$F:$F,B71,加電履歴!$E:$E,"畜種農業")</f>
        <v/>
      </c>
      <c r="AR71" s="10">
        <f>IFERROR(IF(COUNTIFS(加電履歴!$F:$F,B71,加電履歴!$E:$E,"畜種農業")=0,"",MAXIFS(加電履歴!$B:$B,加電履歴!$F:$F,B71,加電履歴!$E:$E,"畜種農業")),"")</f>
        <v/>
      </c>
      <c r="AS71">
        <f>IFERROR(IF(COUNTIFS(加電履歴!$F:$F,B71,加電履歴!$E:$E,"畜種農業")=0,"",INDEX(加電履歴!$I:$I,MATCH(1,(加電履歴!$F:$F=B71)*(加電履歴!$E:$E="畜種農業")*(加電履歴!$B:$B=MAXIFS(加電履歴!$B:$B,加電履歴!$F:$F,B71,加電履歴!$E:$E,"畜種農業")),0))),"")</f>
        <v/>
      </c>
    </row>
    <row r="72">
      <c r="A72" s="9" t="inlineStr">
        <is>
          <t>道北</t>
        </is>
      </c>
      <c r="B72" s="9" t="inlineStr">
        <is>
          <t>北海道農政事務所 旭川支局</t>
        </is>
      </c>
      <c r="D72" s="9" t="inlineStr">
        <is>
          <t>北海道旭川市</t>
        </is>
      </c>
      <c r="E72" s="9" t="inlineStr">
        <is>
          <t>0166-22-2615</t>
        </is>
      </c>
      <c r="F72" s="9" t="inlineStr">
        <is>
          <t>行政機関</t>
        </is>
      </c>
      <c r="G72" s="9" t="inlineStr">
        <is>
          <t>地域の畜産環境整備</t>
        </is>
      </c>
      <c r="H72" s="9" t="inlineStr">
        <is>
          <t>人材不足解消ソリューションとしての情報提供</t>
        </is>
      </c>
      <c r="I72" s="9" t="inlineStr">
        <is>
          <t>農政推進</t>
        </is>
      </c>
      <c r="J72" s="9" t="inlineStr">
        <is>
          <t>担当者</t>
        </is>
      </c>
      <c r="K72" s="9" t="inlineStr">
        <is>
          <t>不明</t>
        </is>
      </c>
      <c r="L72" s="9" t="inlineStr">
        <is>
          <t>未確認</t>
        </is>
      </c>
      <c r="Q72" s="9" t="inlineStr">
        <is>
          <t>未開拓</t>
        </is>
      </c>
      <c r="R72" s="9" t="inlineStr">
        <is>
          <t>ターゲット</t>
        </is>
      </c>
      <c r="S72" s="9" t="inlineStr">
        <is>
          <t>リストアップ</t>
        </is>
      </c>
      <c r="AG72" s="9" t="inlineStr">
        <is>
          <t>営業推進部</t>
        </is>
      </c>
      <c r="AH72" s="9" t="inlineStr">
        <is>
          <t>武田 悦郎</t>
        </is>
      </c>
      <c r="AN72" s="9" t="inlineStr">
        <is>
          <t>未定</t>
        </is>
      </c>
      <c r="AQ72">
        <f>COUNTIFS(加電履歴!$F:$F,B72,加電履歴!$E:$E,"畜種農業")</f>
        <v/>
      </c>
      <c r="AR72" s="10">
        <f>IFERROR(IF(COUNTIFS(加電履歴!$F:$F,B72,加電履歴!$E:$E,"畜種農業")=0,"",MAXIFS(加電履歴!$B:$B,加電履歴!$F:$F,B72,加電履歴!$E:$E,"畜種農業")),"")</f>
        <v/>
      </c>
      <c r="AS72">
        <f>IFERROR(IF(COUNTIFS(加電履歴!$F:$F,B72,加電履歴!$E:$E,"畜種農業")=0,"",INDEX(加電履歴!$I:$I,MATCH(1,(加電履歴!$F:$F=B72)*(加電履歴!$E:$E="畜種農業")*(加電履歴!$B:$B=MAXIFS(加電履歴!$B:$B,加電履歴!$F:$F,B72,加電履歴!$E:$E,"畜種農業")),0))),"")</f>
        <v/>
      </c>
    </row>
    <row r="73">
      <c r="A73" s="9" t="inlineStr">
        <is>
          <t>道北</t>
        </is>
      </c>
      <c r="B73" s="9" t="inlineStr">
        <is>
          <t>旭川市営牧場</t>
        </is>
      </c>
      <c r="D73" s="9" t="inlineStr">
        <is>
          <t>北海道旭川市</t>
        </is>
      </c>
      <c r="E73" s="9" t="inlineStr">
        <is>
          <t>0166-25-7427</t>
        </is>
      </c>
      <c r="F73" s="9" t="inlineStr">
        <is>
          <t>市営の公共牧場</t>
        </is>
      </c>
      <c r="G73" s="9" t="inlineStr">
        <is>
          <t>公共施設の放牧管理</t>
        </is>
      </c>
      <c r="H73" s="9" t="inlineStr">
        <is>
          <t>施設の安定稼働を即戦力で支援</t>
        </is>
      </c>
      <c r="I73" s="9" t="inlineStr">
        <is>
          <t>農林部</t>
        </is>
      </c>
      <c r="J73" s="9" t="inlineStr">
        <is>
          <t>管理者</t>
        </is>
      </c>
      <c r="K73" s="9" t="inlineStr">
        <is>
          <t>不明</t>
        </is>
      </c>
      <c r="L73" s="9" t="inlineStr">
        <is>
          <t>未確認</t>
        </is>
      </c>
      <c r="Q73" s="9" t="inlineStr">
        <is>
          <t>未開拓</t>
        </is>
      </c>
      <c r="R73" s="9" t="inlineStr">
        <is>
          <t>ターゲット</t>
        </is>
      </c>
      <c r="S73" s="9" t="inlineStr">
        <is>
          <t>リストアップ</t>
        </is>
      </c>
      <c r="AG73" s="9" t="inlineStr">
        <is>
          <t>営業推進部</t>
        </is>
      </c>
      <c r="AH73" s="9" t="inlineStr">
        <is>
          <t>武田 悦郎</t>
        </is>
      </c>
      <c r="AN73" s="9" t="inlineStr">
        <is>
          <t>未定</t>
        </is>
      </c>
      <c r="AQ73">
        <f>COUNTIFS(加電履歴!$F:$F,B73,加電履歴!$E:$E,"畜種農業")</f>
        <v/>
      </c>
      <c r="AR73" s="10">
        <f>IFERROR(IF(COUNTIFS(加電履歴!$F:$F,B73,加電履歴!$E:$E,"畜種農業")=0,"",MAXIFS(加電履歴!$B:$B,加電履歴!$F:$F,B73,加電履歴!$E:$E,"畜種農業")),"")</f>
        <v/>
      </c>
      <c r="AS73">
        <f>IFERROR(IF(COUNTIFS(加電履歴!$F:$F,B73,加電履歴!$E:$E,"畜種農業")=0,"",INDEX(加電履歴!$I:$I,MATCH(1,(加電履歴!$F:$F=B73)*(加電履歴!$E:$E="畜種農業")*(加電履歴!$B:$B=MAXIFS(加電履歴!$B:$B,加電履歴!$F:$F,B73,加電履歴!$E:$E,"畜種農業")),0))),"")</f>
        <v/>
      </c>
    </row>
    <row r="74">
      <c r="A74" s="9" t="inlineStr">
        <is>
          <t>道北</t>
        </is>
      </c>
      <c r="B74" s="9" t="inlineStr">
        <is>
          <t>士別市営天塩川牧場</t>
        </is>
      </c>
      <c r="D74" s="9" t="inlineStr">
        <is>
          <t>北海道士別市</t>
        </is>
      </c>
      <c r="E74" s="9" t="inlineStr">
        <is>
          <t>0165-23-3121</t>
        </is>
      </c>
      <c r="F74" s="9" t="inlineStr">
        <is>
          <t>市営の育成牧場</t>
        </is>
      </c>
      <c r="G74" s="9" t="inlineStr">
        <is>
          <t>預託牛の体調管理</t>
        </is>
      </c>
      <c r="H74" s="9" t="inlineStr">
        <is>
          <t>育成牛の飼養管理をサポート</t>
        </is>
      </c>
      <c r="I74" s="9" t="inlineStr">
        <is>
          <t>農林課</t>
        </is>
      </c>
      <c r="J74" s="9" t="inlineStr">
        <is>
          <t>管理者</t>
        </is>
      </c>
      <c r="K74" s="9" t="inlineStr">
        <is>
          <t>不明</t>
        </is>
      </c>
      <c r="L74" s="9" t="inlineStr">
        <is>
          <t>未確認</t>
        </is>
      </c>
      <c r="Q74" s="9" t="inlineStr">
        <is>
          <t>未開拓</t>
        </is>
      </c>
      <c r="R74" s="9" t="inlineStr">
        <is>
          <t>ターゲット</t>
        </is>
      </c>
      <c r="S74" s="9" t="inlineStr">
        <is>
          <t>リストアップ</t>
        </is>
      </c>
      <c r="AG74" s="9" t="inlineStr">
        <is>
          <t>営業推進部</t>
        </is>
      </c>
      <c r="AH74" s="9" t="inlineStr">
        <is>
          <t>武田 悦郎</t>
        </is>
      </c>
      <c r="AN74" s="9" t="inlineStr">
        <is>
          <t>未定</t>
        </is>
      </c>
      <c r="AQ74">
        <f>COUNTIFS(加電履歴!$F:$F,B74,加電履歴!$E:$E,"畜種農業")</f>
        <v/>
      </c>
      <c r="AR74" s="10">
        <f>IFERROR(IF(COUNTIFS(加電履歴!$F:$F,B74,加電履歴!$E:$E,"畜種農業")=0,"",MAXIFS(加電履歴!$B:$B,加電履歴!$F:$F,B74,加電履歴!$E:$E,"畜種農業")),"")</f>
        <v/>
      </c>
      <c r="AS74">
        <f>IFERROR(IF(COUNTIFS(加電履歴!$F:$F,B74,加電履歴!$E:$E,"畜種農業")=0,"",INDEX(加電履歴!$I:$I,MATCH(1,(加電履歴!$F:$F=B74)*(加電履歴!$E:$E="畜種農業")*(加電履歴!$B:$B=MAXIFS(加電履歴!$B:$B,加電履歴!$F:$F,B74,加電履歴!$E:$E,"畜種農業")),0))),"")</f>
        <v/>
      </c>
    </row>
    <row r="75">
      <c r="A75" s="9" t="inlineStr">
        <is>
          <t>道北</t>
        </is>
      </c>
      <c r="B75" s="9" t="inlineStr">
        <is>
          <t>豊富町営牧場</t>
        </is>
      </c>
      <c r="D75" s="9" t="inlineStr">
        <is>
          <t>北海道天塩郡豊富町</t>
        </is>
      </c>
      <c r="E75" s="9" t="inlineStr">
        <is>
          <t>0162-82-1001</t>
        </is>
      </c>
      <c r="F75" s="9" t="inlineStr">
        <is>
          <t>町営の公共牧場</t>
        </is>
      </c>
      <c r="G75" s="9" t="inlineStr">
        <is>
          <t>大規模な牧草地の維持</t>
        </is>
      </c>
      <c r="H75" s="9" t="inlineStr">
        <is>
          <t>採用コスト不要の即戦力人材</t>
        </is>
      </c>
      <c r="I75" s="9" t="inlineStr">
        <is>
          <t>農林水産課</t>
        </is>
      </c>
      <c r="J75" s="9" t="inlineStr">
        <is>
          <t>管理者</t>
        </is>
      </c>
      <c r="K75" s="9" t="inlineStr">
        <is>
          <t>不明</t>
        </is>
      </c>
      <c r="L75" s="9" t="inlineStr">
        <is>
          <t>未確認</t>
        </is>
      </c>
      <c r="Q75" s="9" t="inlineStr">
        <is>
          <t>未開拓</t>
        </is>
      </c>
      <c r="R75" s="9" t="inlineStr">
        <is>
          <t>ターゲット</t>
        </is>
      </c>
      <c r="S75" s="9" t="inlineStr">
        <is>
          <t>リストアップ</t>
        </is>
      </c>
      <c r="AG75" s="9" t="inlineStr">
        <is>
          <t>営業推進部</t>
        </is>
      </c>
      <c r="AH75" s="9" t="inlineStr">
        <is>
          <t>武田 悦郎</t>
        </is>
      </c>
      <c r="AN75" s="9" t="inlineStr">
        <is>
          <t>未定</t>
        </is>
      </c>
      <c r="AQ75">
        <f>COUNTIFS(加電履歴!$F:$F,B75,加電履歴!$E:$E,"畜種農業")</f>
        <v/>
      </c>
      <c r="AR75" s="10">
        <f>IFERROR(IF(COUNTIFS(加電履歴!$F:$F,B75,加電履歴!$E:$E,"畜種農業")=0,"",MAXIFS(加電履歴!$B:$B,加電履歴!$F:$F,B75,加電履歴!$E:$E,"畜種農業")),"")</f>
        <v/>
      </c>
      <c r="AS75">
        <f>IFERROR(IF(COUNTIFS(加電履歴!$F:$F,B75,加電履歴!$E:$E,"畜種農業")=0,"",INDEX(加電履歴!$I:$I,MATCH(1,(加電履歴!$F:$F=B75)*(加電履歴!$E:$E="畜種農業")*(加電履歴!$B:$B=MAXIFS(加電履歴!$B:$B,加電履歴!$F:$F,B75,加電履歴!$E:$E,"畜種農業")),0))),"")</f>
        <v/>
      </c>
    </row>
    <row r="76">
      <c r="A76" s="9" t="inlineStr">
        <is>
          <t>道北</t>
        </is>
      </c>
      <c r="B76" s="9" t="inlineStr">
        <is>
          <t>猿払村営牧場</t>
        </is>
      </c>
      <c r="D76" s="9" t="inlineStr">
        <is>
          <t>北海道宗谷郡猿払村</t>
        </is>
      </c>
      <c r="E76" s="9" t="inlineStr">
        <is>
          <t>01635-2-3131</t>
        </is>
      </c>
      <c r="F76" s="9" t="inlineStr">
        <is>
          <t>村営の公共牧場</t>
        </is>
      </c>
      <c r="G76" s="9" t="inlineStr">
        <is>
          <t>酪農家からの育成牛管理</t>
        </is>
      </c>
      <c r="H76" s="9" t="inlineStr">
        <is>
          <t>育成牛管理における人員確保</t>
        </is>
      </c>
      <c r="I76" s="9" t="inlineStr">
        <is>
          <t>農林課</t>
        </is>
      </c>
      <c r="J76" s="9" t="inlineStr">
        <is>
          <t>管理者</t>
        </is>
      </c>
      <c r="K76" s="9" t="inlineStr">
        <is>
          <t>不明</t>
        </is>
      </c>
      <c r="L76" s="9" t="inlineStr">
        <is>
          <t>未確認</t>
        </is>
      </c>
      <c r="Q76" s="9" t="inlineStr">
        <is>
          <t>未開拓</t>
        </is>
      </c>
      <c r="R76" s="9" t="inlineStr">
        <is>
          <t>ターゲット</t>
        </is>
      </c>
      <c r="S76" s="9" t="inlineStr">
        <is>
          <t>リストアップ</t>
        </is>
      </c>
      <c r="AG76" s="9" t="inlineStr">
        <is>
          <t>営業推進部</t>
        </is>
      </c>
      <c r="AH76" s="9" t="inlineStr">
        <is>
          <t>武田 悦郎</t>
        </is>
      </c>
      <c r="AN76" s="9" t="inlineStr">
        <is>
          <t>未定</t>
        </is>
      </c>
      <c r="AQ76">
        <f>COUNTIFS(加電履歴!$F:$F,B76,加電履歴!$E:$E,"畜種農業")</f>
        <v/>
      </c>
      <c r="AR76" s="10">
        <f>IFERROR(IF(COUNTIFS(加電履歴!$F:$F,B76,加電履歴!$E:$E,"畜種農業")=0,"",MAXIFS(加電履歴!$B:$B,加電履歴!$F:$F,B76,加電履歴!$E:$E,"畜種農業")),"")</f>
        <v/>
      </c>
      <c r="AS76">
        <f>IFERROR(IF(COUNTIFS(加電履歴!$F:$F,B76,加電履歴!$E:$E,"畜種農業")=0,"",INDEX(加電履歴!$I:$I,MATCH(1,(加電履歴!$F:$F=B76)*(加電履歴!$E:$E="畜種農業")*(加電履歴!$B:$B=MAXIFS(加電履歴!$B:$B,加電履歴!$F:$F,B76,加電履歴!$E:$E,"畜種農業")),0))),"")</f>
        <v/>
      </c>
    </row>
    <row r="77">
      <c r="A77" s="9" t="inlineStr">
        <is>
          <t>道北</t>
        </is>
      </c>
      <c r="B77" s="9" t="inlineStr">
        <is>
          <t>名寄市営牧場</t>
        </is>
      </c>
      <c r="D77" s="9" t="inlineStr">
        <is>
          <t>北海道名寄市</t>
        </is>
      </c>
      <c r="E77" s="9" t="inlineStr">
        <is>
          <t>01654-3-2111</t>
        </is>
      </c>
      <c r="F77" s="9" t="inlineStr">
        <is>
          <t>市営の公共牧場</t>
        </is>
      </c>
      <c r="G77" s="9" t="inlineStr">
        <is>
          <t>施設の労働力確保</t>
        </is>
      </c>
      <c r="H77" s="9" t="inlineStr">
        <is>
          <t>施設管理を即戦力として担う人材提供</t>
        </is>
      </c>
      <c r="I77" s="9" t="inlineStr">
        <is>
          <t>農務課</t>
        </is>
      </c>
      <c r="J77" s="9" t="inlineStr">
        <is>
          <t>管理者</t>
        </is>
      </c>
      <c r="K77" s="9" t="inlineStr">
        <is>
          <t>不明</t>
        </is>
      </c>
      <c r="L77" s="9" t="inlineStr">
        <is>
          <t>未確認</t>
        </is>
      </c>
      <c r="Q77" s="9" t="inlineStr">
        <is>
          <t>未開拓</t>
        </is>
      </c>
      <c r="R77" s="9" t="inlineStr">
        <is>
          <t>ターゲット</t>
        </is>
      </c>
      <c r="S77" s="9" t="inlineStr">
        <is>
          <t>リストアップ</t>
        </is>
      </c>
      <c r="AG77" s="9" t="inlineStr">
        <is>
          <t>営業推進部</t>
        </is>
      </c>
      <c r="AH77" s="9" t="inlineStr">
        <is>
          <t>武田 悦郎</t>
        </is>
      </c>
      <c r="AN77" s="9" t="inlineStr">
        <is>
          <t>未定</t>
        </is>
      </c>
      <c r="AQ77">
        <f>COUNTIFS(加電履歴!$F:$F,B77,加電履歴!$E:$E,"畜種農業")</f>
        <v/>
      </c>
      <c r="AR77" s="10">
        <f>IFERROR(IF(COUNTIFS(加電履歴!$F:$F,B77,加電履歴!$E:$E,"畜種農業")=0,"",MAXIFS(加電履歴!$B:$B,加電履歴!$F:$F,B77,加電履歴!$E:$E,"畜種農業")),"")</f>
        <v/>
      </c>
      <c r="AS77">
        <f>IFERROR(IF(COUNTIFS(加電履歴!$F:$F,B77,加電履歴!$E:$E,"畜種農業")=0,"",INDEX(加電履歴!$I:$I,MATCH(1,(加電履歴!$F:$F=B77)*(加電履歴!$E:$E="畜種農業")*(加電履歴!$B:$B=MAXIFS(加電履歴!$B:$B,加電履歴!$F:$F,B77,加電履歴!$E:$E,"畜種農業")),0))),"")</f>
        <v/>
      </c>
    </row>
    <row r="78">
      <c r="A78" s="9" t="inlineStr">
        <is>
          <t>道北</t>
        </is>
      </c>
      <c r="B78" s="9" t="inlineStr">
        <is>
          <t>剣淵町営牧場</t>
        </is>
      </c>
      <c r="D78" s="9" t="inlineStr">
        <is>
          <t>北海道上川郡剣淵町</t>
        </is>
      </c>
      <c r="E78" s="9" t="inlineStr">
        <is>
          <t>0165-34-2121</t>
        </is>
      </c>
      <c r="F78" s="9" t="inlineStr">
        <is>
          <t>町営の公共牧場</t>
        </is>
      </c>
      <c r="G78" s="9" t="inlineStr">
        <is>
          <t>放牧期間中の施設管理</t>
        </is>
      </c>
      <c r="H78" s="9" t="inlineStr">
        <is>
          <t>公共施設の安定稼働支援</t>
        </is>
      </c>
      <c r="I78" s="9" t="inlineStr">
        <is>
          <t>農政課</t>
        </is>
      </c>
      <c r="J78" s="9" t="inlineStr">
        <is>
          <t>管理者</t>
        </is>
      </c>
      <c r="K78" s="9" t="inlineStr">
        <is>
          <t>不明</t>
        </is>
      </c>
      <c r="L78" s="9" t="inlineStr">
        <is>
          <t>未確認</t>
        </is>
      </c>
      <c r="Q78" s="9" t="inlineStr">
        <is>
          <t>未開拓</t>
        </is>
      </c>
      <c r="R78" s="9" t="inlineStr">
        <is>
          <t>ターゲット</t>
        </is>
      </c>
      <c r="S78" s="9" t="inlineStr">
        <is>
          <t>リストアップ</t>
        </is>
      </c>
      <c r="AG78" s="9" t="inlineStr">
        <is>
          <t>営業推進部</t>
        </is>
      </c>
      <c r="AH78" s="9" t="inlineStr">
        <is>
          <t>武田 悦郎</t>
        </is>
      </c>
      <c r="AN78" s="9" t="inlineStr">
        <is>
          <t>未定</t>
        </is>
      </c>
      <c r="AQ78">
        <f>COUNTIFS(加電履歴!$F:$F,B78,加電履歴!$E:$E,"畜種農業")</f>
        <v/>
      </c>
      <c r="AR78" s="10">
        <f>IFERROR(IF(COUNTIFS(加電履歴!$F:$F,B78,加電履歴!$E:$E,"畜種農業")=0,"",MAXIFS(加電履歴!$B:$B,加電履歴!$F:$F,B78,加電履歴!$E:$E,"畜種農業")),"")</f>
        <v/>
      </c>
      <c r="AS78">
        <f>IFERROR(IF(COUNTIFS(加電履歴!$F:$F,B78,加電履歴!$E:$E,"畜種農業")=0,"",INDEX(加電履歴!$I:$I,MATCH(1,(加電履歴!$F:$F=B78)*(加電履歴!$E:$E="畜種農業")*(加電履歴!$B:$B=MAXIFS(加電履歴!$B:$B,加電履歴!$F:$F,B78,加電履歴!$E:$E,"畜種農業")),0))),"")</f>
        <v/>
      </c>
    </row>
    <row r="79">
      <c r="A79" s="9" t="inlineStr">
        <is>
          <t>道北</t>
        </is>
      </c>
      <c r="B79" s="9" t="inlineStr">
        <is>
          <t>天塩町営牧場</t>
        </is>
      </c>
      <c r="D79" s="9" t="inlineStr">
        <is>
          <t>北海道天塩郡天塩町</t>
        </is>
      </c>
      <c r="E79" s="9" t="inlineStr">
        <is>
          <t>01632-2-1001</t>
        </is>
      </c>
      <c r="F79" s="9" t="inlineStr">
        <is>
          <t>町営の公共牧場</t>
        </is>
      </c>
      <c r="G79" s="9" t="inlineStr">
        <is>
          <t>広域な牧草地の管理作業</t>
        </is>
      </c>
      <c r="H79" s="9" t="inlineStr">
        <is>
          <t>採用コストゼロで柔軟な即戦力</t>
        </is>
      </c>
      <c r="I79" s="9" t="inlineStr">
        <is>
          <t>農林水産課</t>
        </is>
      </c>
      <c r="J79" s="9" t="inlineStr">
        <is>
          <t>管理者</t>
        </is>
      </c>
      <c r="K79" s="9" t="inlineStr">
        <is>
          <t>不明</t>
        </is>
      </c>
      <c r="L79" s="9" t="inlineStr">
        <is>
          <t>未確認</t>
        </is>
      </c>
      <c r="Q79" s="9" t="inlineStr">
        <is>
          <t>未開拓</t>
        </is>
      </c>
      <c r="R79" s="9" t="inlineStr">
        <is>
          <t>ターゲット</t>
        </is>
      </c>
      <c r="S79" s="9" t="inlineStr">
        <is>
          <t>リストアップ</t>
        </is>
      </c>
      <c r="AG79" s="9" t="inlineStr">
        <is>
          <t>営業推進部</t>
        </is>
      </c>
      <c r="AH79" s="9" t="inlineStr">
        <is>
          <t>武田 悦郎</t>
        </is>
      </c>
      <c r="AN79" s="9" t="inlineStr">
        <is>
          <t>未定</t>
        </is>
      </c>
      <c r="AQ79">
        <f>COUNTIFS(加電履歴!$F:$F,B79,加電履歴!$E:$E,"畜種農業")</f>
        <v/>
      </c>
      <c r="AR79" s="10">
        <f>IFERROR(IF(COUNTIFS(加電履歴!$F:$F,B79,加電履歴!$E:$E,"畜種農業")=0,"",MAXIFS(加電履歴!$B:$B,加電履歴!$F:$F,B79,加電履歴!$E:$E,"畜種農業")),"")</f>
        <v/>
      </c>
      <c r="AS79">
        <f>IFERROR(IF(COUNTIFS(加電履歴!$F:$F,B79,加電履歴!$E:$E,"畜種農業")=0,"",INDEX(加電履歴!$I:$I,MATCH(1,(加電履歴!$F:$F=B79)*(加電履歴!$E:$E="畜種農業")*(加電履歴!$B:$B=MAXIFS(加電履歴!$B:$B,加電履歴!$F:$F,B79,加電履歴!$E:$E,"畜種農業")),0))),"")</f>
        <v/>
      </c>
    </row>
    <row r="80">
      <c r="A80" s="9" t="inlineStr">
        <is>
          <t>道北</t>
        </is>
      </c>
      <c r="B80" s="9" t="inlineStr">
        <is>
          <t>幌延町営牧場</t>
        </is>
      </c>
      <c r="D80" s="9" t="inlineStr">
        <is>
          <t>北海道天塩郡幌延町</t>
        </is>
      </c>
      <c r="E80" s="9" t="inlineStr">
        <is>
          <t>01632-5-1111</t>
        </is>
      </c>
      <c r="F80" s="9" t="inlineStr">
        <is>
          <t>町営の公共牧場</t>
        </is>
      </c>
      <c r="G80" s="9" t="inlineStr">
        <is>
          <t>安定した育成環境の維持</t>
        </is>
      </c>
      <c r="H80" s="9" t="inlineStr">
        <is>
          <t>即戦力を配置しオペレーション実現</t>
        </is>
      </c>
      <c r="I80" s="9" t="inlineStr">
        <is>
          <t>産業振興課</t>
        </is>
      </c>
      <c r="J80" s="9" t="inlineStr">
        <is>
          <t>管理者</t>
        </is>
      </c>
      <c r="K80" s="9" t="inlineStr">
        <is>
          <t>不明</t>
        </is>
      </c>
      <c r="L80" s="9" t="inlineStr">
        <is>
          <t>未確認</t>
        </is>
      </c>
      <c r="Q80" s="9" t="inlineStr">
        <is>
          <t>未開拓</t>
        </is>
      </c>
      <c r="R80" s="9" t="inlineStr">
        <is>
          <t>ターゲット</t>
        </is>
      </c>
      <c r="S80" s="9" t="inlineStr">
        <is>
          <t>リストアップ</t>
        </is>
      </c>
      <c r="AG80" s="9" t="inlineStr">
        <is>
          <t>営業推進部</t>
        </is>
      </c>
      <c r="AH80" s="9" t="inlineStr">
        <is>
          <t>武田 悦郎</t>
        </is>
      </c>
      <c r="AN80" s="9" t="inlineStr">
        <is>
          <t>未定</t>
        </is>
      </c>
      <c r="AQ80">
        <f>COUNTIFS(加電履歴!$F:$F,B80,加電履歴!$E:$E,"畜種農業")</f>
        <v/>
      </c>
      <c r="AR80" s="10">
        <f>IFERROR(IF(COUNTIFS(加電履歴!$F:$F,B80,加電履歴!$E:$E,"畜種農業")=0,"",MAXIFS(加電履歴!$B:$B,加電履歴!$F:$F,B80,加電履歴!$E:$E,"畜種農業")),"")</f>
        <v/>
      </c>
      <c r="AS80">
        <f>IFERROR(IF(COUNTIFS(加電履歴!$F:$F,B80,加電履歴!$E:$E,"畜種農業")=0,"",INDEX(加電履歴!$I:$I,MATCH(1,(加電履歴!$F:$F=B80)*(加電履歴!$E:$E="畜種農業")*(加電履歴!$B:$B=MAXIFS(加電履歴!$B:$B,加電履歴!$F:$F,B80,加電履歴!$E:$E,"畜種農業")),0))),"")</f>
        <v/>
      </c>
    </row>
    <row r="81">
      <c r="A81" s="9" t="inlineStr">
        <is>
          <t>道北</t>
        </is>
      </c>
      <c r="B81" s="9" t="inlineStr">
        <is>
          <t>上川町営牧場</t>
        </is>
      </c>
      <c r="D81" s="9" t="inlineStr">
        <is>
          <t>北海道上川郡上川町</t>
        </is>
      </c>
      <c r="E81" s="9" t="inlineStr">
        <is>
          <t>01658-2-4051</t>
        </is>
      </c>
      <c r="F81" s="9" t="inlineStr">
        <is>
          <t>町営の公共牧場</t>
        </is>
      </c>
      <c r="G81" s="9" t="inlineStr">
        <is>
          <t>自然環境下での牛群管理</t>
        </is>
      </c>
      <c r="H81" s="9" t="inlineStr">
        <is>
          <t>飼養管理をサポートする定住型人材</t>
        </is>
      </c>
      <c r="I81" s="9" t="inlineStr">
        <is>
          <t>農林課</t>
        </is>
      </c>
      <c r="J81" s="9" t="inlineStr">
        <is>
          <t>管理者</t>
        </is>
      </c>
      <c r="K81" s="9" t="inlineStr">
        <is>
          <t>不明</t>
        </is>
      </c>
      <c r="L81" s="9" t="inlineStr">
        <is>
          <t>未確認</t>
        </is>
      </c>
      <c r="Q81" s="9" t="inlineStr">
        <is>
          <t>未開拓</t>
        </is>
      </c>
      <c r="R81" s="9" t="inlineStr">
        <is>
          <t>ターゲット</t>
        </is>
      </c>
      <c r="S81" s="9" t="inlineStr">
        <is>
          <t>リストアップ</t>
        </is>
      </c>
      <c r="AG81" s="9" t="inlineStr">
        <is>
          <t>営業推進部</t>
        </is>
      </c>
      <c r="AH81" s="9" t="inlineStr">
        <is>
          <t>武田 悦郎</t>
        </is>
      </c>
      <c r="AN81" s="9" t="inlineStr">
        <is>
          <t>未定</t>
        </is>
      </c>
      <c r="AQ81">
        <f>COUNTIFS(加電履歴!$F:$F,B81,加電履歴!$E:$E,"畜種農業")</f>
        <v/>
      </c>
      <c r="AR81" s="10">
        <f>IFERROR(IF(COUNTIFS(加電履歴!$F:$F,B81,加電履歴!$E:$E,"畜種農業")=0,"",MAXIFS(加電履歴!$B:$B,加電履歴!$F:$F,B81,加電履歴!$E:$E,"畜種農業")),"")</f>
        <v/>
      </c>
      <c r="AS81">
        <f>IFERROR(IF(COUNTIFS(加電履歴!$F:$F,B81,加電履歴!$E:$E,"畜種農業")=0,"",INDEX(加電履歴!$I:$I,MATCH(1,(加電履歴!$F:$F=B81)*(加電履歴!$E:$E="畜種農業")*(加電履歴!$B:$B=MAXIFS(加電履歴!$B:$B,加電履歴!$F:$F,B81,加電履歴!$E:$E,"畜種農業")),0))),"")</f>
        <v/>
      </c>
    </row>
    <row r="82">
      <c r="A82" s="9" t="inlineStr">
        <is>
          <t>道北</t>
        </is>
      </c>
      <c r="B82" s="9" t="inlineStr">
        <is>
          <t>鷹栖町営牧場</t>
        </is>
      </c>
      <c r="D82" s="9" t="inlineStr">
        <is>
          <t>北海道上川郡鷹栖町</t>
        </is>
      </c>
      <c r="E82" s="9" t="inlineStr">
        <is>
          <t>0166-87-2111</t>
        </is>
      </c>
      <c r="F82" s="9" t="inlineStr">
        <is>
          <t>町営の公共牧場</t>
        </is>
      </c>
      <c r="G82" s="9" t="inlineStr">
        <is>
          <t>都市近郊での人材獲得競争</t>
        </is>
      </c>
      <c r="H82" s="9" t="inlineStr">
        <is>
          <t>コストをかけずに即戦力を確保</t>
        </is>
      </c>
      <c r="I82" s="9" t="inlineStr">
        <is>
          <t>農業委員会</t>
        </is>
      </c>
      <c r="J82" s="9" t="inlineStr">
        <is>
          <t>管理者</t>
        </is>
      </c>
      <c r="K82" s="9" t="inlineStr">
        <is>
          <t>不明</t>
        </is>
      </c>
      <c r="L82" s="9" t="inlineStr">
        <is>
          <t>未確認</t>
        </is>
      </c>
      <c r="Q82" s="9" t="inlineStr">
        <is>
          <t>未開拓</t>
        </is>
      </c>
      <c r="R82" s="9" t="inlineStr">
        <is>
          <t>ターゲット</t>
        </is>
      </c>
      <c r="S82" s="9" t="inlineStr">
        <is>
          <t>リストアップ</t>
        </is>
      </c>
      <c r="AG82" s="9" t="inlineStr">
        <is>
          <t>営業推進部</t>
        </is>
      </c>
      <c r="AH82" s="9" t="inlineStr">
        <is>
          <t>武田 悦郎</t>
        </is>
      </c>
      <c r="AN82" s="9" t="inlineStr">
        <is>
          <t>未定</t>
        </is>
      </c>
      <c r="AQ82">
        <f>COUNTIFS(加電履歴!$F:$F,B82,加電履歴!$E:$E,"畜種農業")</f>
        <v/>
      </c>
      <c r="AR82" s="10">
        <f>IFERROR(IF(COUNTIFS(加電履歴!$F:$F,B82,加電履歴!$E:$E,"畜種農業")=0,"",MAXIFS(加電履歴!$B:$B,加電履歴!$F:$F,B82,加電履歴!$E:$E,"畜種農業")),"")</f>
        <v/>
      </c>
      <c r="AS82">
        <f>IFERROR(IF(COUNTIFS(加電履歴!$F:$F,B82,加電履歴!$E:$E,"畜種農業")=0,"",INDEX(加電履歴!$I:$I,MATCH(1,(加電履歴!$F:$F=B82)*(加電履歴!$E:$E="畜種農業")*(加電履歴!$B:$B=MAXIFS(加電履歴!$B:$B,加電履歴!$F:$F,B82,加電履歴!$E:$E,"畜種農業")),0))),"")</f>
        <v/>
      </c>
    </row>
    <row r="83">
      <c r="A83" s="9" t="inlineStr">
        <is>
          <t>道北</t>
        </is>
      </c>
      <c r="B83" s="9" t="inlineStr">
        <is>
          <t>和寒町営牧場</t>
        </is>
      </c>
      <c r="D83" s="9" t="inlineStr">
        <is>
          <t>北海道上川郡和寒町</t>
        </is>
      </c>
      <c r="E83" s="9" t="inlineStr">
        <is>
          <t>0165-32-2421</t>
        </is>
      </c>
      <c r="F83" s="9" t="inlineStr">
        <is>
          <t>町営の公共牧場</t>
        </is>
      </c>
      <c r="G83" s="9" t="inlineStr">
        <is>
          <t>夏季放牧管理の省力化</t>
        </is>
      </c>
      <c r="H83" s="9" t="inlineStr">
        <is>
          <t>安定稼働を即戦力で支援</t>
        </is>
      </c>
      <c r="I83" s="9" t="inlineStr">
        <is>
          <t>産業振興課</t>
        </is>
      </c>
      <c r="J83" s="9" t="inlineStr">
        <is>
          <t>管理者</t>
        </is>
      </c>
      <c r="K83" s="9" t="inlineStr">
        <is>
          <t>不明</t>
        </is>
      </c>
      <c r="L83" s="9" t="inlineStr">
        <is>
          <t>未確認</t>
        </is>
      </c>
      <c r="Q83" s="9" t="inlineStr">
        <is>
          <t>未開拓</t>
        </is>
      </c>
      <c r="R83" s="9" t="inlineStr">
        <is>
          <t>ターゲット</t>
        </is>
      </c>
      <c r="S83" s="9" t="inlineStr">
        <is>
          <t>リストアップ</t>
        </is>
      </c>
      <c r="AG83" s="9" t="inlineStr">
        <is>
          <t>営業推進部</t>
        </is>
      </c>
      <c r="AH83" s="9" t="inlineStr">
        <is>
          <t>武田 悦郎</t>
        </is>
      </c>
      <c r="AN83" s="9" t="inlineStr">
        <is>
          <t>未定</t>
        </is>
      </c>
      <c r="AQ83">
        <f>COUNTIFS(加電履歴!$F:$F,B83,加電履歴!$E:$E,"畜種農業")</f>
        <v/>
      </c>
      <c r="AR83" s="10">
        <f>IFERROR(IF(COUNTIFS(加電履歴!$F:$F,B83,加電履歴!$E:$E,"畜種農業")=0,"",MAXIFS(加電履歴!$B:$B,加電履歴!$F:$F,B83,加電履歴!$E:$E,"畜種農業")),"")</f>
        <v/>
      </c>
      <c r="AS83">
        <f>IFERROR(IF(COUNTIFS(加電履歴!$F:$F,B83,加電履歴!$E:$E,"畜種農業")=0,"",INDEX(加電履歴!$I:$I,MATCH(1,(加電履歴!$F:$F=B83)*(加電履歴!$E:$E="畜種農業")*(加電履歴!$B:$B=MAXIFS(加電履歴!$B:$B,加電履歴!$F:$F,B83,加電履歴!$E:$E,"畜種農業")),0))),"")</f>
        <v/>
      </c>
    </row>
    <row r="84">
      <c r="A84" s="9" t="inlineStr">
        <is>
          <t>道北</t>
        </is>
      </c>
      <c r="B84" s="9" t="inlineStr">
        <is>
          <t>有限会社きしかわ畜産</t>
        </is>
      </c>
      <c r="D84" s="9" t="inlineStr">
        <is>
          <t>北海道名寄市</t>
        </is>
      </c>
      <c r="E84" s="9" t="inlineStr">
        <is>
          <t>01654-2-2555</t>
        </is>
      </c>
      <c r="F84" s="9" t="inlineStr">
        <is>
          <t>素牛農家</t>
        </is>
      </c>
      <c r="G84" s="9" t="inlineStr">
        <is>
          <t>現場作業の効率化</t>
        </is>
      </c>
      <c r="H84" s="9" t="inlineStr">
        <is>
          <t>若手人材の紹介による基盤提供</t>
        </is>
      </c>
      <c r="I84" s="9" t="inlineStr">
        <is>
          <t>経営陣</t>
        </is>
      </c>
      <c r="J84" s="9" t="inlineStr">
        <is>
          <t>代表</t>
        </is>
      </c>
      <c r="K84" s="9" t="inlineStr">
        <is>
          <t>不明</t>
        </is>
      </c>
      <c r="L84" s="9" t="inlineStr">
        <is>
          <t>未確認</t>
        </is>
      </c>
      <c r="Q84" s="9" t="inlineStr">
        <is>
          <t>未開拓</t>
        </is>
      </c>
      <c r="R84" s="9" t="inlineStr">
        <is>
          <t>ターゲット</t>
        </is>
      </c>
      <c r="S84" s="9" t="inlineStr">
        <is>
          <t>リストアップ</t>
        </is>
      </c>
      <c r="AG84" s="9" t="inlineStr">
        <is>
          <t>営業推進部</t>
        </is>
      </c>
      <c r="AH84" s="9" t="inlineStr">
        <is>
          <t>武田 悦郎</t>
        </is>
      </c>
      <c r="AN84" s="9" t="inlineStr">
        <is>
          <t>未定</t>
        </is>
      </c>
      <c r="AQ84">
        <f>COUNTIFS(加電履歴!$F:$F,B84,加電履歴!$E:$E,"畜種農業")</f>
        <v/>
      </c>
      <c r="AR84" s="10">
        <f>IFERROR(IF(COUNTIFS(加電履歴!$F:$F,B84,加電履歴!$E:$E,"畜種農業")=0,"",MAXIFS(加電履歴!$B:$B,加電履歴!$F:$F,B84,加電履歴!$E:$E,"畜種農業")),"")</f>
        <v/>
      </c>
      <c r="AS84">
        <f>IFERROR(IF(COUNTIFS(加電履歴!$F:$F,B84,加電履歴!$E:$E,"畜種農業")=0,"",INDEX(加電履歴!$I:$I,MATCH(1,(加電履歴!$F:$F=B84)*(加電履歴!$E:$E="畜種農業")*(加電履歴!$B:$B=MAXIFS(加電履歴!$B:$B,加電履歴!$F:$F,B84,加電履歴!$E:$E,"畜種農業")),0))),"")</f>
        <v/>
      </c>
    </row>
    <row r="85">
      <c r="A85" s="9" t="inlineStr">
        <is>
          <t>道北</t>
        </is>
      </c>
      <c r="B85" s="9" t="inlineStr">
        <is>
          <t>株式会社大雪牧場</t>
        </is>
      </c>
      <c r="D85" s="9" t="inlineStr">
        <is>
          <t>北海道上川郡上川町</t>
        </is>
      </c>
      <c r="E85" s="9" t="inlineStr">
        <is>
          <t>不明</t>
        </is>
      </c>
      <c r="F85" s="9" t="inlineStr">
        <is>
          <t>肉牛・乳牛生産</t>
        </is>
      </c>
      <c r="G85" s="9" t="inlineStr">
        <is>
          <t>多頭数飼育における日常業務</t>
        </is>
      </c>
      <c r="H85" s="9" t="inlineStr">
        <is>
          <t>給餌・清掃を担う即戦力人材</t>
        </is>
      </c>
      <c r="I85" s="9" t="inlineStr">
        <is>
          <t>経営陣</t>
        </is>
      </c>
      <c r="J85" s="9" t="inlineStr">
        <is>
          <t>代表</t>
        </is>
      </c>
      <c r="K85" s="9" t="inlineStr">
        <is>
          <t>不明</t>
        </is>
      </c>
      <c r="L85" s="9" t="inlineStr">
        <is>
          <t>未確認</t>
        </is>
      </c>
      <c r="Q85" s="9" t="inlineStr">
        <is>
          <t>未開拓</t>
        </is>
      </c>
      <c r="R85" s="9" t="inlineStr">
        <is>
          <t>ターゲット</t>
        </is>
      </c>
      <c r="S85" s="9" t="inlineStr">
        <is>
          <t>リストアップ</t>
        </is>
      </c>
      <c r="AG85" s="9" t="inlineStr">
        <is>
          <t>営業推進部</t>
        </is>
      </c>
      <c r="AH85" s="9" t="inlineStr">
        <is>
          <t>武田 悦郎</t>
        </is>
      </c>
      <c r="AN85" s="9" t="inlineStr">
        <is>
          <t>未定</t>
        </is>
      </c>
      <c r="AQ85">
        <f>COUNTIFS(加電履歴!$F:$F,B85,加電履歴!$E:$E,"畜種農業")</f>
        <v/>
      </c>
      <c r="AR85" s="10">
        <f>IFERROR(IF(COUNTIFS(加電履歴!$F:$F,B85,加電履歴!$E:$E,"畜種農業")=0,"",MAXIFS(加電履歴!$B:$B,加電履歴!$F:$F,B85,加電履歴!$E:$E,"畜種農業")),"")</f>
        <v/>
      </c>
      <c r="AS85">
        <f>IFERROR(IF(COUNTIFS(加電履歴!$F:$F,B85,加電履歴!$E:$E,"畜種農業")=0,"",INDEX(加電履歴!$I:$I,MATCH(1,(加電履歴!$F:$F=B85)*(加電履歴!$E:$E="畜種農業")*(加電履歴!$B:$B=MAXIFS(加電履歴!$B:$B,加電履歴!$F:$F,B85,加電履歴!$E:$E,"畜種農業")),0))),"")</f>
        <v/>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L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0" customWidth="1" min="3" max="3"/>
    <col width="12" customWidth="1" min="4" max="4"/>
    <col width="12" customWidth="1" min="5" max="5"/>
    <col width="30" customWidth="1" min="6" max="6"/>
    <col width="14" customWidth="1" min="7" max="7"/>
    <col width="14" customWidth="1" min="8" max="8"/>
    <col width="14" customWidth="1" min="9" max="9"/>
    <col width="50" customWidth="1" min="10" max="10"/>
    <col width="30" customWidth="1" min="11" max="11"/>
    <col width="12" customWidth="1" min="12" max="12"/>
  </cols>
  <sheetData>
    <row r="1">
      <c r="A1" s="11" t="inlineStr">
        <is>
          <t>No.</t>
        </is>
      </c>
      <c r="B1" s="11" t="inlineStr">
        <is>
          <t>日付</t>
        </is>
      </c>
      <c r="C1" s="11" t="inlineStr">
        <is>
          <t>開始時刻</t>
        </is>
      </c>
      <c r="D1" s="11" t="inlineStr">
        <is>
          <t>通話時間(分)</t>
        </is>
      </c>
      <c r="E1" s="11" t="inlineStr">
        <is>
          <t>シート</t>
        </is>
      </c>
      <c r="F1" s="11" t="inlineStr">
        <is>
          <t>企業名</t>
        </is>
      </c>
      <c r="G1" s="11" t="inlineStr">
        <is>
          <t>担当者(自社)</t>
        </is>
      </c>
      <c r="H1" s="11" t="inlineStr">
        <is>
          <t>相手先担当者</t>
        </is>
      </c>
      <c r="I1" s="11" t="inlineStr">
        <is>
          <t>結果</t>
        </is>
      </c>
      <c r="J1" s="11" t="inlineStr">
        <is>
          <t>内容メモ</t>
        </is>
      </c>
      <c r="K1" s="11" t="inlineStr">
        <is>
          <t>次回ToDo</t>
        </is>
      </c>
      <c r="L1" s="11" t="inlineStr">
        <is>
          <t>次回予定日</t>
        </is>
      </c>
    </row>
  </sheetData>
  <autoFilter ref="A1:L1"/>
  <dataValidations count="2">
    <dataValidation sqref="I2:I1000" showDropDown="0" showInputMessage="0" showErrorMessage="0" allowBlank="1" type="list">
      <formula1>"つながった,不在,留守電,断り,担当者不在,アポ獲得,商談,折返し待ち,その他"</formula1>
    </dataValidation>
    <dataValidation sqref="E2:E1000" showDropDown="0" showInputMessage="0" showErrorMessage="0" allowBlank="1" type="list">
      <formula1>"JAリスト,畜種農業"</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武田 悦郎 (Etsuro Takeda)</dc:creator>
  <dcterms:created xsi:type="dcterms:W3CDTF">2026-04-22T14:30:44Z</dcterms:created>
  <dcterms:modified xsi:type="dcterms:W3CDTF">2026-05-14T02:20:37Z</dcterms:modified>
  <cp:lastModifiedBy>武田 悦郎 (Etsuro Takeda)</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0x010100FB5D0F056A9BE342A53C78A05252BFC3</vt:lpwstr>
  </property>
</Properties>
</file>