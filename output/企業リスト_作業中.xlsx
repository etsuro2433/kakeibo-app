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1" autoFilterDateGrouping="1"/>
  </bookViews>
  <sheets>
    <sheet name="加電履歴" sheetId="1" state="visible" r:id="rId1"/>
    <sheet name="📝加電入力" sheetId="2" state="visible" r:id="rId2"/>
    <sheet name="JAリスト" sheetId="3" state="visible" r:id="rId3"/>
    <sheet name="畜種農業" sheetId="4" state="visible" r:id="rId4"/>
    <sheet name="_master" sheetId="5" state="hidden" r:id="rId5"/>
  </sheets>
  <definedNames>
    <definedName name="道央">'_master'!$B$2:$B$49</definedName>
    <definedName name="道北">'_master'!$C$2:$C$36</definedName>
    <definedName name="道東">'_master'!$D$2:$D$41</definedName>
    <definedName name="道南">'_master'!$E$2:$E$15</definedName>
    <definedName name="JA_道央">'_master'!$F$2:$F$16</definedName>
    <definedName name="JA_道北">'_master'!$G$2:$G$14</definedName>
    <definedName name="JA_道東">'_master'!$H$2:$H$24</definedName>
    <definedName name="JA_道南">'_master'!$I$2:$I$2</definedName>
    <definedName name="CH_道央">'_master'!$J$2:$J$34</definedName>
    <definedName name="CH_道北">'_master'!$K$2:$K$23</definedName>
    <definedName name="CH_道東">'_master'!$L$2:$L$18</definedName>
    <definedName name="CH_道南">'_master'!$M$2:$M$15</definedName>
  </definedNames>
  <calcPr calcId="191028" fullCalcOnLoad="1"/>
</workbook>
</file>

<file path=xl/styles.xml><?xml version="1.0" encoding="utf-8"?>
<styleSheet xmlns="http://schemas.openxmlformats.org/spreadsheetml/2006/main">
  <numFmts count="2">
    <numFmt numFmtId="164" formatCode="yyyy/mm/dd"/>
    <numFmt numFmtId="165" formatCode="yyyy/m/d"/>
  </numFmts>
  <fonts count="15">
    <font>
      <name val="Arial"/>
      <color rgb="FF000000"/>
      <sz val="10"/>
      <scheme val="minor"/>
    </font>
    <font>
      <name val="Arial"/>
      <family val="2"/>
      <color theme="1"/>
      <sz val="10"/>
    </font>
    <font>
      <name val="Arial"/>
      <family val="2"/>
      <color theme="1"/>
      <sz val="9"/>
    </font>
    <font>
      <name val="Arial"/>
      <charset val="128"/>
      <family val="3"/>
      <sz val="6"/>
      <scheme val="minor"/>
    </font>
    <font>
      <name val="Arial"/>
      <family val="2"/>
      <color theme="1"/>
      <sz val="10"/>
      <scheme val="major"/>
    </font>
    <font>
      <name val="ＭＳ ゴシック"/>
      <charset val="128"/>
      <family val="3"/>
      <color theme="1"/>
      <sz val="10"/>
    </font>
    <font>
      <name val="Arial"/>
      <family val="2"/>
      <b val="1"/>
      <color theme="1"/>
      <sz val="10"/>
      <scheme val="minor"/>
    </font>
    <font>
      <name val="Arial"/>
      <family val="2"/>
      <color theme="1"/>
      <sz val="10"/>
      <scheme val="minor"/>
    </font>
    <font>
      <b val="1"/>
      <color rgb="00FFFFFF"/>
    </font>
    <font>
      <color rgb="000563C1"/>
      <u val="single"/>
    </font>
    <font>
      <b val="1"/>
    </font>
    <font>
      <b val="1"/>
      <color rgb="00FFFFFF"/>
      <sz val="14"/>
    </font>
    <font>
      <b val="1"/>
      <color rgb="00555555"/>
    </font>
    <font>
      <color rgb="00666666"/>
      <sz val="10"/>
    </font>
    <font>
      <i val="1"/>
      <color rgb="002E75B6"/>
    </font>
  </fonts>
  <fills count="9">
    <fill>
      <patternFill/>
    </fill>
    <fill>
      <patternFill patternType="gray125"/>
    </fill>
    <fill>
      <patternFill patternType="solid">
        <fgColor theme="7" tint="0.3999755851924192"/>
        <bgColor indexed="64"/>
      </patternFill>
    </fill>
    <fill>
      <patternFill patternType="solid">
        <fgColor rgb="004472C4"/>
      </patternFill>
    </fill>
    <fill>
      <patternFill patternType="solid">
        <fgColor rgb="00FFF2CC"/>
      </patternFill>
    </fill>
    <fill>
      <patternFill patternType="solid">
        <fgColor rgb="00E2EFDA"/>
      </patternFill>
    </fill>
    <fill>
      <patternFill patternType="solid">
        <fgColor rgb="00DCE6F1"/>
      </patternFill>
    </fill>
    <fill>
      <patternFill patternType="solid">
        <fgColor rgb="002E75B6"/>
      </patternFill>
    </fill>
    <fill>
      <patternFill patternType="solid">
        <fgColor rgb="00FFFDE7"/>
      </patternFill>
    </fill>
  </fills>
  <borders count="5">
    <border>
      <left/>
      <right/>
      <top/>
      <bottom/>
      <diagonal/>
    </border>
    <border>
      <left style="thin">
        <color rgb="00888888"/>
      </left>
      <right style="thin">
        <color rgb="00888888"/>
      </right>
      <top style="thin">
        <color rgb="00888888"/>
      </top>
      <bottom style="thin">
        <color rgb="00888888"/>
      </bottom>
    </border>
    <border>
      <left/>
      <right/>
      <top style="thin">
        <color rgb="00888888"/>
      </top>
      <bottom/>
      <diagonal/>
    </border>
    <border>
      <left/>
      <right style="thin">
        <color rgb="00888888"/>
      </right>
      <top style="thin">
        <color rgb="00888888"/>
      </top>
      <bottom/>
      <diagonal/>
    </border>
    <border>
      <left/>
      <right style="thin">
        <color rgb="00888888"/>
      </right>
      <top style="thin">
        <color rgb="00888888"/>
      </top>
      <bottom style="thin">
        <color rgb="00888888"/>
      </bottom>
      <diagonal/>
    </border>
  </borders>
  <cellStyleXfs count="1">
    <xf numFmtId="0" fontId="0" fillId="0" borderId="0"/>
  </cellStyleXfs>
  <cellXfs count="32">
    <xf numFmtId="0" fontId="0" fillId="0" borderId="0" pivotButton="0" quotePrefix="0" xfId="0"/>
    <xf numFmtId="0" fontId="1" fillId="0" borderId="0" pivotButton="0" quotePrefix="0" xfId="0"/>
    <xf numFmtId="0" fontId="1" fillId="0" borderId="0" applyAlignment="1" pivotButton="0" quotePrefix="0" xfId="0">
      <alignment horizontal="center"/>
    </xf>
    <xf numFmtId="0" fontId="0" fillId="0" borderId="0" applyAlignment="1" pivotButton="0" quotePrefix="0" xfId="0">
      <alignment horizontal="center"/>
    </xf>
    <xf numFmtId="0" fontId="2" fillId="0" borderId="0" applyAlignment="1" pivotButton="0" quotePrefix="0" xfId="0">
      <alignment horizontal="center"/>
    </xf>
    <xf numFmtId="0" fontId="4" fillId="0" borderId="0" pivotButton="0" quotePrefix="0" xfId="0"/>
    <xf numFmtId="0" fontId="5" fillId="0" borderId="0" pivotButton="0" quotePrefix="0" xfId="0"/>
    <xf numFmtId="0" fontId="6" fillId="2" borderId="0" pivotButton="0" quotePrefix="0" xfId="0"/>
    <xf numFmtId="0" fontId="0" fillId="2" borderId="0" pivotButton="0" quotePrefix="0" xfId="0"/>
    <xf numFmtId="0" fontId="7" fillId="0" borderId="0" pivotButton="0" quotePrefix="0" xfId="0"/>
    <xf numFmtId="164" fontId="0" fillId="0" borderId="0" pivotButton="0" quotePrefix="0" xfId="0"/>
    <xf numFmtId="0" fontId="8" fillId="3" borderId="0" applyAlignment="1" pivotButton="0" quotePrefix="0" xfId="0">
      <alignment horizontal="center" vertical="center"/>
    </xf>
    <xf numFmtId="0" fontId="9" fillId="4" borderId="0" pivotButton="0" quotePrefix="0" xfId="0"/>
    <xf numFmtId="0" fontId="1" fillId="4" borderId="0" pivotButton="0" quotePrefix="0" xfId="0"/>
    <xf numFmtId="0" fontId="0" fillId="4" borderId="0" pivotButton="0" quotePrefix="0" xfId="0"/>
    <xf numFmtId="0" fontId="0" fillId="5" borderId="0" pivotButton="0" quotePrefix="0" xfId="0"/>
    <xf numFmtId="0" fontId="9" fillId="5" borderId="0" pivotButton="0" quotePrefix="0" xfId="0"/>
    <xf numFmtId="0" fontId="1" fillId="5" borderId="0" pivotButton="0" quotePrefix="0" xfId="0"/>
    <xf numFmtId="0" fontId="7" fillId="4" borderId="0" pivotButton="0" quotePrefix="0" xfId="0"/>
    <xf numFmtId="0" fontId="10" fillId="6" borderId="0" applyAlignment="1" pivotButton="0" quotePrefix="0" xfId="0">
      <alignment horizontal="center" vertical="center"/>
    </xf>
    <xf numFmtId="165" fontId="0" fillId="0" borderId="0" pivotButton="0" quotePrefix="0" xfId="0"/>
    <xf numFmtId="20" fontId="0" fillId="0" borderId="0" pivotButton="0" quotePrefix="0" xfId="0"/>
    <xf numFmtId="0" fontId="11" fillId="7" borderId="0" applyAlignment="1" pivotButton="0" quotePrefix="0" xfId="0">
      <alignment horizontal="center" vertical="center"/>
    </xf>
    <xf numFmtId="0" fontId="10" fillId="6" borderId="1" applyAlignment="1" pivotButton="0" quotePrefix="0" xfId="0">
      <alignment horizontal="right" vertical="center"/>
    </xf>
    <xf numFmtId="165" fontId="0" fillId="8" borderId="1" applyAlignment="1" pivotButton="0" quotePrefix="0" xfId="0">
      <alignment vertical="center"/>
    </xf>
    <xf numFmtId="0" fontId="0" fillId="0" borderId="4" pivotButton="0" quotePrefix="0" xfId="0"/>
    <xf numFmtId="20" fontId="0" fillId="8" borderId="1" applyAlignment="1" pivotButton="0" quotePrefix="0" xfId="0">
      <alignment vertical="center"/>
    </xf>
    <xf numFmtId="1" fontId="0" fillId="8" borderId="1" applyAlignment="1" pivotButton="0" quotePrefix="0" xfId="0">
      <alignment vertical="center"/>
    </xf>
    <xf numFmtId="0" fontId="0" fillId="8" borderId="1" applyAlignment="1" pivotButton="0" quotePrefix="0" xfId="0">
      <alignment vertical="center"/>
    </xf>
    <xf numFmtId="0" fontId="12" fillId="0" borderId="0" pivotButton="0" quotePrefix="0" xfId="0"/>
    <xf numFmtId="0" fontId="13" fillId="0" borderId="0" pivotButton="0" quotePrefix="0" xfId="0"/>
    <xf numFmtId="0" fontId="14" fillId="0" borderId="0" pivotButton="0" quotePrefix="0" xfId="0"/>
  </cellXfs>
  <cellStyles count="1">
    <cellStyle name="標準" xfId="0" builtinId="0"/>
  </cellStyles>
  <dxfs count="41">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general" vertical="bottom"/>
    </dxf>
    <dxf>
      <font>
        <name val="Arial"/>
        <strike val="0"/>
        <outline val="0"/>
        <shadow val="0"/>
        <condense val="0"/>
        <color theme="1"/>
        <extend val="0"/>
        <sz val="10"/>
        <vertAlign val="baseline"/>
      </font>
      <alignment horizontal="center" vertical="bottom"/>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テーブル3" displayName="テーブル3" ref="A1:AM51" headerRowCount="1" totalsRowShown="0" headerRowDxfId="40" dataDxfId="39">
  <autoFilter ref="A1:AM51"/>
  <tableColumns count="39">
    <tableColumn id="1" name="企業名" dataDxfId="38"/>
    <tableColumn id="2" name="住所" dataDxfId="37"/>
    <tableColumn id="3" name="電話番号" dataDxfId="36"/>
    <tableColumn id="4" name="地域の農業特徴・特産品情報" dataDxfId="35"/>
    <tableColumn id="5" name="想定される課題・アプローチのポイント" dataDxfId="34"/>
    <tableColumn id="6" name="提案の切り口（自社サービス・強み）" dataDxfId="33"/>
    <tableColumn id="7" name="担当部署" dataDxfId="32"/>
    <tableColumn id="8" name="役職" dataDxfId="31"/>
    <tableColumn id="9" name="担当者" dataDxfId="30"/>
    <tableColumn id="10" name="活用状況" dataDxfId="29"/>
    <tableColumn id="11" name="実習人数" dataDxfId="28"/>
    <tableColumn id="12" name="実習_国籍" dataDxfId="27"/>
    <tableColumn id="13" name="特技人数" dataDxfId="26"/>
    <tableColumn id="14" name="特技_国籍" dataDxfId="25"/>
    <tableColumn id="15" name="既存状況" dataDxfId="24"/>
    <tableColumn id="16" name="営業状況" dataDxfId="23"/>
    <tableColumn id="17" name="ステータス" dataDxfId="22"/>
    <tableColumn id="18" name="進捗" dataDxfId="21"/>
    <tableColumn id="19" name="初回訪問日" dataDxfId="20"/>
    <tableColumn id="20" name="最終コンタクト日" dataDxfId="19"/>
    <tableColumn id="21" name="最終経過日数" dataDxfId="18"/>
    <tableColumn id="22" name="訪問履歴" dataDxfId="17"/>
    <tableColumn id="23" name="最終アクション（日付・結果/詳細）" dataDxfId="16"/>
    <tableColumn id="24" name="日付" dataDxfId="15"/>
    <tableColumn id="25" name="行動" dataDxfId="14"/>
    <tableColumn id="26" name="次回アクション予定" dataDxfId="13"/>
    <tableColumn id="27" name="予定日" dataDxfId="12"/>
    <tableColumn id="28" name="連携元" dataDxfId="11"/>
    <tableColumn id="29" name="連携元所属" dataDxfId="10"/>
    <tableColumn id="30" name="連携者" dataDxfId="9"/>
    <tableColumn id="31" name="連携先" dataDxfId="8"/>
    <tableColumn id="32" name="担当所属" dataDxfId="7"/>
    <tableColumn id="33" name="営業担当" dataDxfId="6"/>
    <tableColumn id="34" name="受注日" dataDxfId="5"/>
    <tableColumn id="35" name="受注内容" dataDxfId="4"/>
    <tableColumn id="36" name="配属予定日" dataDxfId="3"/>
    <tableColumn id="37" name="受注_国籍" dataDxfId="2"/>
    <tableColumn id="38" name="受注_人数" dataDxfId="1"/>
    <tableColumn id="39" name="状況" dataDxfId="0"/>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ja-douou.or.jp/" TargetMode="External" Id="rId1" /><Relationship Type="http://schemas.openxmlformats.org/officeDocument/2006/relationships/hyperlink" Target="https://www.ja-kitaishikari.or.jp/" TargetMode="External" Id="rId2" /><Relationship Type="http://schemas.openxmlformats.org/officeDocument/2006/relationships/hyperlink" Target="https://www.ja-shinshinotsu.or.jp/" TargetMode="External" Id="rId3" /><Relationship Type="http://schemas.openxmlformats.org/officeDocument/2006/relationships/hyperlink" Target="https://ja-iwamizawa.or.jp/" TargetMode="External" Id="rId4" /><Relationship Type="http://schemas.openxmlformats.org/officeDocument/2006/relationships/hyperlink" Target="http://www.ja-minenobu.or.jp/" TargetMode="External" Id="rId5" /><Relationship Type="http://schemas.openxmlformats.org/officeDocument/2006/relationships/hyperlink" Target="https://www.ja-bibai.or.jp/" TargetMode="External" Id="rId6" /><Relationship Type="http://schemas.openxmlformats.org/officeDocument/2006/relationships/hyperlink" Target="https://www.ja-takikawa.com/" TargetMode="External" Id="rId7" /><Relationship Type="http://schemas.openxmlformats.org/officeDocument/2006/relationships/hyperlink" Target="https://jashinsunagawa.or.jp/" TargetMode="External" Id="rId8" /><Relationship Type="http://schemas.openxmlformats.org/officeDocument/2006/relationships/hyperlink" Target="https://www.hamanasu.to/ja-moon/" TargetMode="External" Id="rId9" /><Relationship Type="http://schemas.openxmlformats.org/officeDocument/2006/relationships/hyperlink" Target="https://www.ja-kitasorachi.com/" TargetMode="External" Id="rId10" /><Relationship Type="http://schemas.openxmlformats.org/officeDocument/2006/relationships/hyperlink" Target="https://www.ja-kitaibuki.or.jp/" TargetMode="External" Id="rId11" /><Relationship Type="http://schemas.openxmlformats.org/officeDocument/2006/relationships/hyperlink" Target="https://www.japinne.or.jp/" TargetMode="External" Id="rId12" /><Relationship Type="http://schemas.openxmlformats.org/officeDocument/2006/relationships/hyperlink" Target="https://ja-yoichi.or.jp/" TargetMode="External" Id="rId13" /><Relationship Type="http://schemas.openxmlformats.org/officeDocument/2006/relationships/hyperlink" Target="https://www.ja-kyouwa.jp/" TargetMode="External" Id="rId14" /><Relationship Type="http://schemas.openxmlformats.org/officeDocument/2006/relationships/hyperlink" Target="https://ja-sinotaru.jp/" TargetMode="External" Id="rId15" /><Relationship Type="http://schemas.openxmlformats.org/officeDocument/2006/relationships/hyperlink" Target="http://www.jataisetu.or.jp/" TargetMode="External" Id="rId16" /><Relationship Type="http://schemas.openxmlformats.org/officeDocument/2006/relationships/hyperlink" Target="https://www.ja-higashikagura.com/" TargetMode="External" Id="rId17" /><Relationship Type="http://schemas.openxmlformats.org/officeDocument/2006/relationships/hyperlink" Target="https://www.ja-higashikawa.or.jp/" TargetMode="External" Id="rId18" /><Relationship Type="http://schemas.openxmlformats.org/officeDocument/2006/relationships/hyperlink" Target="https://ja-tohma.com/" TargetMode="External" Id="rId19" /><Relationship Type="http://schemas.openxmlformats.org/officeDocument/2006/relationships/hyperlink" Target="http://www.ja-kamikawa.or.jp/" TargetMode="External" Id="rId20" /><Relationship Type="http://schemas.openxmlformats.org/officeDocument/2006/relationships/hyperlink" Target="https://www.ja-pippu.or.jp/" TargetMode="External" Id="rId21" /><Relationship Type="http://schemas.openxmlformats.org/officeDocument/2006/relationships/hyperlink" Target="https://www.ja-douhokunayoro.or.jp/" TargetMode="External" Id="rId22" /><Relationship Type="http://schemas.openxmlformats.org/officeDocument/2006/relationships/hyperlink" Target="https://ja-kitasouya.jp/" TargetMode="External" Id="rId23" /><Relationship Type="http://schemas.openxmlformats.org/officeDocument/2006/relationships/hyperlink" Target="http://ja-souyaminami.or.jp/" TargetMode="External" Id="rId24" /><Relationship Type="http://schemas.openxmlformats.org/officeDocument/2006/relationships/hyperlink" Target="https://www.ja-esoya.com/" TargetMode="External" Id="rId25" /><Relationship Type="http://schemas.openxmlformats.org/officeDocument/2006/relationships/hyperlink" Target="https://www.jakitamirai.or.jp/" TargetMode="External" Id="rId26" /><Relationship Type="http://schemas.openxmlformats.org/officeDocument/2006/relationships/hyperlink" Target="https://www.ja-tokoro.or.jp/" TargetMode="External" Id="rId27" /><Relationship Type="http://schemas.openxmlformats.org/officeDocument/2006/relationships/hyperlink" Target="https://www.ja-memanbetsu.jp/" TargetMode="External" Id="rId28" /><Relationship Type="http://schemas.openxmlformats.org/officeDocument/2006/relationships/hyperlink" Target="https://www.ja-bihoro.or.jp/" TargetMode="External" Id="rId29" /><Relationship Type="http://schemas.openxmlformats.org/officeDocument/2006/relationships/hyperlink" Target="https://www.jatsubetsu.or.jp/" TargetMode="External" Id="rId30" /><Relationship Type="http://schemas.openxmlformats.org/officeDocument/2006/relationships/hyperlink" Target="https://ja-shiretokoshari.or.jp/" TargetMode="External" Id="rId31" /><Relationship Type="http://schemas.openxmlformats.org/officeDocument/2006/relationships/hyperlink" Target="https://ja-kiyosato.or.jp/" TargetMode="External" Id="rId32" /><Relationship Type="http://schemas.openxmlformats.org/officeDocument/2006/relationships/hyperlink" Target="https://ja-koshimizu.jp/" TargetMode="External" Id="rId33" /><Relationship Type="http://schemas.openxmlformats.org/officeDocument/2006/relationships/hyperlink" Target="https://www.ja-enyu.com/" TargetMode="External" Id="rId34" /><Relationship Type="http://schemas.openxmlformats.org/officeDocument/2006/relationships/hyperlink" Target="https://www.jaobihirokawanisi.or.jp/" TargetMode="External" Id="rId35" /><Relationship Type="http://schemas.openxmlformats.org/officeDocument/2006/relationships/hyperlink" Target="https://www.ja-otofuke.jp/" TargetMode="External" Id="rId36" /><Relationship Type="http://schemas.openxmlformats.org/officeDocument/2006/relationships/hyperlink" Target="https://ja-kino.com/" TargetMode="External" Id="rId37" /><Relationship Type="http://schemas.openxmlformats.org/officeDocument/2006/relationships/hyperlink" Target="https://www.ja-shihoro.or.jp/" TargetMode="External" Id="rId38" /><Relationship Type="http://schemas.openxmlformats.org/officeDocument/2006/relationships/hyperlink" Target="https://ja-kamishihoro.or.jp/" TargetMode="External" Id="rId39" /><Relationship Type="http://schemas.openxmlformats.org/officeDocument/2006/relationships/hyperlink" Target="https://www.ja-shikaoi.com/" TargetMode="External" Id="rId40" /><Relationship Type="http://schemas.openxmlformats.org/officeDocument/2006/relationships/hyperlink" Target="https://www.ja-shintoku.or.jp/" TargetMode="External" Id="rId41" /><Relationship Type="http://schemas.openxmlformats.org/officeDocument/2006/relationships/hyperlink" Target="http://www.ja-akan.or.jp/" TargetMode="External" Id="rId42" /><Relationship Type="http://schemas.openxmlformats.org/officeDocument/2006/relationships/hyperlink" Target="https://www.sip.jp/~ja-shibecya/" TargetMode="External" Id="rId43" /><Relationship Type="http://schemas.openxmlformats.org/officeDocument/2006/relationships/hyperlink" Target="https://www.ja-doutouasahi.or.jp/" TargetMode="External" Id="rId44" /><Relationship Type="http://schemas.openxmlformats.org/officeDocument/2006/relationships/hyperlink" Target="http://ja-nks.jp/" TargetMode="External" Id="rId45" /><Relationship Type="http://schemas.openxmlformats.org/officeDocument/2006/relationships/hyperlink" Target="https://www.ja-shibetsu.com/" TargetMode="External" Id="rId46" /><Relationship Type="http://schemas.openxmlformats.org/officeDocument/2006/relationships/hyperlink" Target="https://ja-okhotskabashiri.or.jp/" TargetMode="External" Id="rId47" /><Relationship Type="http://schemas.openxmlformats.org/officeDocument/2006/relationships/table" Target="/xl/tables/table1.xml" Id="rId48" /></Relationships>
</file>

<file path=xl/worksheets/_rels/sheet4.xml.rels><Relationships xmlns="http://schemas.openxmlformats.org/package/2006/relationships"><Relationship Type="http://schemas.openxmlformats.org/officeDocument/2006/relationships/hyperlink" Target="https://www.kalm.co.jp/" TargetMode="External" Id="rId1" /><Relationship Type="http://schemas.openxmlformats.org/officeDocument/2006/relationships/hyperlink" Target="http://www.machimura.co.jp/" TargetMode="External" Id="rId2" /><Relationship Type="http://schemas.openxmlformats.org/officeDocument/2006/relationships/hyperlink" Target="https://ooya-farm.com/" TargetMode="External" Id="rId3" /><Relationship Type="http://schemas.openxmlformats.org/officeDocument/2006/relationships/hyperlink" Target="https://asanofarm.com/" TargetMode="External" Id="rId4" /><Relationship Type="http://schemas.openxmlformats.org/officeDocument/2006/relationships/hyperlink" Target="https://nagamitsufarm.com/" TargetMode="External" Id="rId5" /><Relationship Type="http://schemas.openxmlformats.org/officeDocument/2006/relationships/hyperlink" Target="https://murakami-farm.com/" TargetMode="External" Id="rId6" /><Relationship Type="http://schemas.openxmlformats.org/officeDocument/2006/relationships/hyperlink" Target="https://www.mainichi-milk.co.jp/" TargetMode="External" Id="rId7" /><Relationship Type="http://schemas.openxmlformats.org/officeDocument/2006/relationships/hyperlink" Target="https://ohtafarm-tamago.com/" TargetMode="External" Id="rId8" /><Relationship Type="http://schemas.openxmlformats.org/officeDocument/2006/relationships/hyperlink" Target="https://www.utopiaagriculture.com/" TargetMode="External" Id="rId9" /><Relationship Type="http://schemas.openxmlformats.org/officeDocument/2006/relationships/hyperlink" Target="https://www.oh-farm.co.jp/" TargetMode="External" Id="rId10" /><Relationship Type="http://schemas.openxmlformats.org/officeDocument/2006/relationships/hyperlink" Target="http://www.yamanaka-pork.com/" TargetMode="External" Id="rId11" /><Relationship Type="http://schemas.openxmlformats.org/officeDocument/2006/relationships/hyperlink" Target="https://www.elmlane.co.jp/" TargetMode="External" Id="rId12" /><Relationship Type="http://schemas.openxmlformats.org/officeDocument/2006/relationships/hyperlink" Target="https://www.hokuryo.co.jp/" TargetMode="External" Id="rId13" /><Relationship Type="http://schemas.openxmlformats.org/officeDocument/2006/relationships/hyperlink" Target="https://www.hokuryo.co.jp/" TargetMode="External" Id="rId14" /><Relationship Type="http://schemas.openxmlformats.org/officeDocument/2006/relationships/hyperlink" Target="http://kumiai-farm.co.jp/" TargetMode="External" Id="rId15" /><Relationship Type="http://schemas.openxmlformats.org/officeDocument/2006/relationships/hyperlink" Target="https://kobayashibokujo.com/" TargetMode="External" Id="rId16" /><Relationship Type="http://schemas.openxmlformats.org/officeDocument/2006/relationships/hyperlink" Target="https://ikebata-farm.com/" TargetMode="External" Id="rId17" /><Relationship Type="http://schemas.openxmlformats.org/officeDocument/2006/relationships/hyperlink" Target="https://www.agricola.jp/" TargetMode="External" Id="rId18" /><Relationship Type="http://schemas.openxmlformats.org/officeDocument/2006/relationships/hyperlink" Target="https://hokkaido-chuobokujo.com/" TargetMode="External" Id="rId19" /><Relationship Type="http://schemas.openxmlformats.org/officeDocument/2006/relationships/hyperlink" Target="https://www.naganumafarm.jp/" TargetMode="External" Id="rId20" /><Relationship Type="http://schemas.openxmlformats.org/officeDocument/2006/relationships/hyperlink" Target="https://www.29yamamoto.jp/" TargetMode="External" Id="rId21" /><Relationship Type="http://schemas.openxmlformats.org/officeDocument/2006/relationships/hyperlink" Target="https://farmage.co.jp/" TargetMode="External" Id="rId22" /><Relationship Type="http://schemas.openxmlformats.org/officeDocument/2006/relationships/hyperlink" Target="https://bokuhan.co.jp/" TargetMode="External" Id="rId23" /><Relationship Type="http://schemas.openxmlformats.org/officeDocument/2006/relationships/hyperlink" Target="https://www.holstein.or.jp/" TargetMode="External" Id="rId24" /><Relationship Type="http://schemas.openxmlformats.org/officeDocument/2006/relationships/hyperlink" Target="https://www.tondenfarm.co.jp/" TargetMode="External" Id="rId25" /><Relationship Type="http://schemas.openxmlformats.org/officeDocument/2006/relationships/hyperlink" Target="https://otsukafarm.com/" TargetMode="External" Id="rId26" /><Relationship Type="http://schemas.openxmlformats.org/officeDocument/2006/relationships/hyperlink" Target="https://jake-i.com/" TargetMode="External" Id="rId27" /><Relationship Type="http://schemas.openxmlformats.org/officeDocument/2006/relationships/hyperlink" Target="https://www.nipponcleanfarm.co.jp/" TargetMode="External" Id="rId28" /><Relationship Type="http://schemas.openxmlformats.org/officeDocument/2006/relationships/hyperlink" Target="https://www.hokkaido-pork.jp/farm/oshima-hiyama/farm_yamabe/" TargetMode="External" Id="rId29" /><Relationship Type="http://schemas.openxmlformats.org/officeDocument/2006/relationships/hyperlink" Target="https://www.hokkaido-pork.jp/farm/oshima-hiyama/farm_successmori/" TargetMode="External" Id="rId30" /><Relationship Type="http://schemas.openxmlformats.org/officeDocument/2006/relationships/hyperlink" Target="https://www.hikomabuta.com/" TargetMode="External" Id="rId31" /><Relationship Type="http://schemas.openxmlformats.org/officeDocument/2006/relationships/hyperlink" Target="https://www.hokkaido-pork.jp/farm/oshima-hiyama/farm_nishimura/" TargetMode="External" Id="rId32" /><Relationship Type="http://schemas.openxmlformats.org/officeDocument/2006/relationships/hyperlink" Target="https://porkman.jp/" TargetMode="External" Id="rId33" /><Relationship Type="http://schemas.openxmlformats.org/officeDocument/2006/relationships/hyperlink" Target="https://www.hikomabuta.com/" TargetMode="External" Id="rId34" /><Relationship Type="http://schemas.openxmlformats.org/officeDocument/2006/relationships/hyperlink" Target="https://www.e-milk.co.jp/" TargetMode="External" Id="rId35" /><Relationship Type="http://schemas.openxmlformats.org/officeDocument/2006/relationships/hyperlink" Target="https://www.onuma-nikugyu-farm.com/" TargetMode="External" Id="rId36" /><Relationship Type="http://schemas.openxmlformats.org/officeDocument/2006/relationships/hyperlink" Target="https://www.foodpacker.jp/" TargetMode="External" Id="rId37" /><Relationship Type="http://schemas.openxmlformats.org/officeDocument/2006/relationships/hyperlink" Target="https://www.facebook.com/Toubufarm/" TargetMode="External" Id="rId38" /><Relationship Type="http://schemas.openxmlformats.org/officeDocument/2006/relationships/hyperlink" Target="http://www.moromi.co.jp/" TargetMode="External" Id="rId39" /><Relationship Type="http://schemas.openxmlformats.org/officeDocument/2006/relationships/hyperlink" Target="http://biei-farm.co.jp/" TargetMode="External" Id="rId40" /><Relationship Type="http://schemas.openxmlformats.org/officeDocument/2006/relationships/hyperlink" Target="https://f-chiyoda.com/" TargetMode="External" Id="rId41" /><Relationship Type="http://schemas.openxmlformats.org/officeDocument/2006/relationships/hyperlink" Target="https://furanobokujo.com/" TargetMode="External" Id="rId42" /><Relationship Type="http://schemas.openxmlformats.org/officeDocument/2006/relationships/hyperlink" Target="https://www.toyotomi-milk.co.jp/" TargetMode="External" Id="rId43" /><Relationship Type="http://schemas.openxmlformats.org/officeDocument/2006/relationships/hyperlink" Target="https://www.nipponham-hokkaidofa.co.jp/" TargetMode="External" Id="rId44" /><Relationship Type="http://schemas.openxmlformats.org/officeDocument/2006/relationships/hyperlink" Target="https://www.ja-esoya.com/" TargetMode="External" Id="rId45" /><Relationship Type="http://schemas.openxmlformats.org/officeDocument/2006/relationships/hyperlink" Target="https://www.city.asahikawa.hokkaido.jp/500/501/504/p005231.html" TargetMode="External" Id="rId46" /><Relationship Type="http://schemas.openxmlformats.org/officeDocument/2006/relationships/hyperlink" Target="http://www.tonakai-farm.com/" TargetMode="External" Id="rId47" /><Relationship Type="http://schemas.openxmlformats.org/officeDocument/2006/relationships/hyperlink" Target="https://taisetsu-farm325.com/" TargetMode="External" Id="rId48" /><Relationship Type="http://schemas.openxmlformats.org/officeDocument/2006/relationships/hyperlink" Target="http://www.genseibokujou.co.jp/" TargetMode="External" Id="rId49" /><Relationship Type="http://schemas.openxmlformats.org/officeDocument/2006/relationships/hyperlink" Target="https://www.hokkaido-pork.jp/farm/feedone/farm_kyodo/" TargetMode="External" Id="rId50" /><Relationship Type="http://schemas.openxmlformats.org/officeDocument/2006/relationships/hyperlink" Target="https://kitakitsune-farm.com/" TargetMode="External" Id="rId51" /><Relationship Type="http://schemas.openxmlformats.org/officeDocument/2006/relationships/hyperlink" Target="http://www.bihoro-gyu.com/" TargetMode="External" Id="rId52" /><Relationship Type="http://schemas.openxmlformats.org/officeDocument/2006/relationships/hyperlink" Target="https://sasaki-web.net/" TargetMode="External" Id="rId53" /><Relationship Type="http://schemas.openxmlformats.org/officeDocument/2006/relationships/hyperlink" Target="https://tikusan.securesite.jp/" TargetMode="External" Id="rId54" /><Relationship Type="http://schemas.openxmlformats.org/officeDocument/2006/relationships/hyperlink" Target="https://www.yamaguchifarm.com/" TargetMode="External" Id="rId55" /><Relationship Type="http://schemas.openxmlformats.org/officeDocument/2006/relationships/hyperlink" Target="https://www.nishi-farm.com/" TargetMode="External" Id="rId56" /><Relationship Type="http://schemas.openxmlformats.org/officeDocument/2006/relationships/hyperlink" Target="https://tsubetsufarm.com/" TargetMode="External" Id="rId57" /><Relationship Type="http://schemas.openxmlformats.org/officeDocument/2006/relationships/hyperlink" Target="https://zoo.hokkaido.jp/okhotsctemu/" TargetMode="External" Id="rId58" /><Relationship Type="http://schemas.openxmlformats.org/officeDocument/2006/relationships/hyperlink" Target="https://nagao-sangyo.com/" TargetMode="External" Id="rId59" /><Relationship Type="http://schemas.openxmlformats.org/officeDocument/2006/relationships/hyperlink" Target="http://agriheart.jp/" TargetMode="External" Id="rId60" /></Relationships>
</file>

<file path=xl/worksheets/sheet1.xml><?xml version="1.0" encoding="utf-8"?>
<worksheet xmlns="http://schemas.openxmlformats.org/spreadsheetml/2006/main">
  <sheetPr>
    <outlinePr summaryBelow="1" summaryRight="1"/>
    <pageSetUpPr/>
  </sheetPr>
  <dimension ref="A1:M100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0" customWidth="1" min="3" max="3"/>
    <col width="10" customWidth="1" min="4" max="4"/>
    <col width="10" customWidth="1" min="5" max="5"/>
    <col width="8" customWidth="1" min="6" max="6"/>
    <col width="28" customWidth="1" min="7" max="7"/>
    <col width="14" customWidth="1" min="8" max="8"/>
    <col width="14" customWidth="1" min="9" max="9"/>
    <col width="14" customWidth="1" min="10" max="10"/>
    <col width="30" customWidth="1" min="11" max="11"/>
    <col width="24" customWidth="1" min="12" max="12"/>
    <col width="12" customWidth="1" min="13" max="13"/>
  </cols>
  <sheetData>
    <row r="1">
      <c r="A1" s="19" t="inlineStr">
        <is>
          <t>No.</t>
        </is>
      </c>
      <c r="B1" s="19" t="inlineStr">
        <is>
          <t>日付</t>
        </is>
      </c>
      <c r="C1" s="19" t="inlineStr">
        <is>
          <t>開始時刻</t>
        </is>
      </c>
      <c r="D1" s="19" t="inlineStr">
        <is>
          <t>通話時間(分)</t>
        </is>
      </c>
      <c r="E1" s="19" t="inlineStr">
        <is>
          <t>種別</t>
        </is>
      </c>
      <c r="F1" s="19" t="inlineStr">
        <is>
          <t>エリア</t>
        </is>
      </c>
      <c r="G1" s="19" t="inlineStr">
        <is>
          <t>企業名</t>
        </is>
      </c>
      <c r="H1" s="19" t="inlineStr">
        <is>
          <t>担当者(自社)</t>
        </is>
      </c>
      <c r="I1" s="19" t="inlineStr">
        <is>
          <t>相手先担当者</t>
        </is>
      </c>
      <c r="J1" s="19" t="inlineStr">
        <is>
          <t>結果</t>
        </is>
      </c>
      <c r="K1" s="19" t="inlineStr">
        <is>
          <t>内容メモ</t>
        </is>
      </c>
      <c r="L1" s="19" t="inlineStr">
        <is>
          <t>次回ToDo</t>
        </is>
      </c>
      <c r="M1" s="19" t="inlineStr">
        <is>
          <t>次回予定日</t>
        </is>
      </c>
    </row>
    <row r="2">
      <c r="A2">
        <f>IF(G2="","",ROW()-1)</f>
        <v/>
      </c>
      <c r="B2" s="20" t="n"/>
      <c r="C2" s="21" t="n"/>
      <c r="M2" s="20" t="n"/>
    </row>
    <row r="3">
      <c r="A3">
        <f>IF(G3="","",ROW()-1)</f>
        <v/>
      </c>
      <c r="B3" s="20" t="n"/>
      <c r="C3" s="21" t="n"/>
      <c r="M3" s="20" t="n"/>
    </row>
    <row r="4">
      <c r="A4">
        <f>IF(G4="","",ROW()-1)</f>
        <v/>
      </c>
      <c r="B4" s="20" t="n"/>
      <c r="C4" s="21" t="n"/>
      <c r="M4" s="20" t="n"/>
    </row>
    <row r="5">
      <c r="A5">
        <f>IF(G5="","",ROW()-1)</f>
        <v/>
      </c>
      <c r="B5" s="20" t="n"/>
      <c r="C5" s="21" t="n"/>
      <c r="M5" s="20" t="n"/>
    </row>
    <row r="6">
      <c r="A6">
        <f>IF(G6="","",ROW()-1)</f>
        <v/>
      </c>
      <c r="B6" s="20" t="n"/>
      <c r="C6" s="21" t="n"/>
      <c r="M6" s="20" t="n"/>
    </row>
    <row r="7">
      <c r="A7">
        <f>IF(G7="","",ROW()-1)</f>
        <v/>
      </c>
      <c r="B7" s="20" t="n"/>
      <c r="C7" s="21" t="n"/>
      <c r="M7" s="20" t="n"/>
    </row>
    <row r="8">
      <c r="A8">
        <f>IF(G8="","",ROW()-1)</f>
        <v/>
      </c>
      <c r="B8" s="20" t="n"/>
      <c r="C8" s="21" t="n"/>
      <c r="M8" s="20" t="n"/>
    </row>
    <row r="9">
      <c r="A9">
        <f>IF(G9="","",ROW()-1)</f>
        <v/>
      </c>
      <c r="B9" s="20" t="n"/>
      <c r="C9" s="21" t="n"/>
      <c r="M9" s="20" t="n"/>
    </row>
    <row r="10">
      <c r="A10">
        <f>IF(G10="","",ROW()-1)</f>
        <v/>
      </c>
      <c r="B10" s="20" t="n"/>
      <c r="C10" s="21" t="n"/>
      <c r="M10" s="20" t="n"/>
    </row>
    <row r="11">
      <c r="A11">
        <f>IF(G11="","",ROW()-1)</f>
        <v/>
      </c>
      <c r="B11" s="20" t="n"/>
      <c r="C11" s="21" t="n"/>
      <c r="M11" s="20" t="n"/>
    </row>
    <row r="12">
      <c r="A12">
        <f>IF(G12="","",ROW()-1)</f>
        <v/>
      </c>
      <c r="B12" s="20" t="n"/>
      <c r="C12" s="21" t="n"/>
      <c r="M12" s="20" t="n"/>
    </row>
    <row r="13">
      <c r="A13">
        <f>IF(G13="","",ROW()-1)</f>
        <v/>
      </c>
      <c r="B13" s="20" t="n"/>
      <c r="C13" s="21" t="n"/>
      <c r="M13" s="20" t="n"/>
    </row>
    <row r="14">
      <c r="A14">
        <f>IF(G14="","",ROW()-1)</f>
        <v/>
      </c>
      <c r="B14" s="20" t="n"/>
      <c r="C14" s="21" t="n"/>
      <c r="M14" s="20" t="n"/>
    </row>
    <row r="15">
      <c r="A15">
        <f>IF(G15="","",ROW()-1)</f>
        <v/>
      </c>
      <c r="B15" s="20" t="n"/>
      <c r="C15" s="21" t="n"/>
      <c r="M15" s="20" t="n"/>
    </row>
    <row r="16">
      <c r="A16">
        <f>IF(G16="","",ROW()-1)</f>
        <v/>
      </c>
      <c r="B16" s="20" t="n"/>
      <c r="C16" s="21" t="n"/>
      <c r="M16" s="20" t="n"/>
    </row>
    <row r="17">
      <c r="A17">
        <f>IF(G17="","",ROW()-1)</f>
        <v/>
      </c>
      <c r="B17" s="20" t="n"/>
      <c r="C17" s="21" t="n"/>
      <c r="M17" s="20" t="n"/>
    </row>
    <row r="18">
      <c r="A18">
        <f>IF(G18="","",ROW()-1)</f>
        <v/>
      </c>
      <c r="B18" s="20" t="n"/>
      <c r="C18" s="21" t="n"/>
      <c r="M18" s="20" t="n"/>
    </row>
    <row r="19">
      <c r="A19">
        <f>IF(G19="","",ROW()-1)</f>
        <v/>
      </c>
      <c r="B19" s="20" t="n"/>
      <c r="C19" s="21" t="n"/>
      <c r="M19" s="20" t="n"/>
    </row>
    <row r="20">
      <c r="A20">
        <f>IF(G20="","",ROW()-1)</f>
        <v/>
      </c>
      <c r="B20" s="20" t="n"/>
      <c r="C20" s="21" t="n"/>
      <c r="M20" s="20" t="n"/>
    </row>
    <row r="21">
      <c r="A21">
        <f>IF(G21="","",ROW()-1)</f>
        <v/>
      </c>
      <c r="B21" s="20" t="n"/>
      <c r="C21" s="21" t="n"/>
      <c r="M21" s="20" t="n"/>
    </row>
    <row r="22">
      <c r="A22">
        <f>IF(G22="","",ROW()-1)</f>
        <v/>
      </c>
      <c r="B22" s="20" t="n"/>
      <c r="C22" s="21" t="n"/>
      <c r="M22" s="20" t="n"/>
    </row>
    <row r="23">
      <c r="A23">
        <f>IF(G23="","",ROW()-1)</f>
        <v/>
      </c>
      <c r="B23" s="20" t="n"/>
      <c r="C23" s="21" t="n"/>
      <c r="M23" s="20" t="n"/>
    </row>
    <row r="24">
      <c r="A24">
        <f>IF(G24="","",ROW()-1)</f>
        <v/>
      </c>
      <c r="B24" s="20" t="n"/>
      <c r="C24" s="21" t="n"/>
      <c r="M24" s="20" t="n"/>
    </row>
    <row r="25">
      <c r="A25">
        <f>IF(G25="","",ROW()-1)</f>
        <v/>
      </c>
      <c r="B25" s="20" t="n"/>
      <c r="C25" s="21" t="n"/>
      <c r="M25" s="20" t="n"/>
    </row>
    <row r="26">
      <c r="A26">
        <f>IF(G26="","",ROW()-1)</f>
        <v/>
      </c>
      <c r="B26" s="20" t="n"/>
      <c r="C26" s="21" t="n"/>
      <c r="M26" s="20" t="n"/>
    </row>
    <row r="27">
      <c r="A27">
        <f>IF(G27="","",ROW()-1)</f>
        <v/>
      </c>
      <c r="B27" s="20" t="n"/>
      <c r="C27" s="21" t="n"/>
      <c r="M27" s="20" t="n"/>
    </row>
    <row r="28">
      <c r="A28">
        <f>IF(G28="","",ROW()-1)</f>
        <v/>
      </c>
      <c r="B28" s="20" t="n"/>
      <c r="C28" s="21" t="n"/>
      <c r="M28" s="20" t="n"/>
    </row>
    <row r="29">
      <c r="A29">
        <f>IF(G29="","",ROW()-1)</f>
        <v/>
      </c>
      <c r="B29" s="20" t="n"/>
      <c r="C29" s="21" t="n"/>
      <c r="M29" s="20" t="n"/>
    </row>
    <row r="30">
      <c r="A30">
        <f>IF(G30="","",ROW()-1)</f>
        <v/>
      </c>
      <c r="B30" s="20" t="n"/>
      <c r="C30" s="21" t="n"/>
      <c r="M30" s="20" t="n"/>
    </row>
    <row r="31">
      <c r="A31">
        <f>IF(G31="","",ROW()-1)</f>
        <v/>
      </c>
      <c r="B31" s="20" t="n"/>
      <c r="C31" s="21" t="n"/>
      <c r="M31" s="20" t="n"/>
    </row>
    <row r="32">
      <c r="A32">
        <f>IF(G32="","",ROW()-1)</f>
        <v/>
      </c>
      <c r="B32" s="20" t="n"/>
      <c r="C32" s="21" t="n"/>
      <c r="M32" s="20" t="n"/>
    </row>
    <row r="33">
      <c r="A33">
        <f>IF(G33="","",ROW()-1)</f>
        <v/>
      </c>
      <c r="B33" s="20" t="n"/>
      <c r="C33" s="21" t="n"/>
      <c r="M33" s="20" t="n"/>
    </row>
    <row r="34">
      <c r="A34">
        <f>IF(G34="","",ROW()-1)</f>
        <v/>
      </c>
      <c r="B34" s="20" t="n"/>
      <c r="C34" s="21" t="n"/>
      <c r="M34" s="20" t="n"/>
    </row>
    <row r="35">
      <c r="A35">
        <f>IF(G35="","",ROW()-1)</f>
        <v/>
      </c>
      <c r="B35" s="20" t="n"/>
      <c r="C35" s="21" t="n"/>
      <c r="M35" s="20" t="n"/>
    </row>
    <row r="36">
      <c r="A36">
        <f>IF(G36="","",ROW()-1)</f>
        <v/>
      </c>
      <c r="B36" s="20" t="n"/>
      <c r="C36" s="21" t="n"/>
      <c r="M36" s="20" t="n"/>
    </row>
    <row r="37">
      <c r="A37">
        <f>IF(G37="","",ROW()-1)</f>
        <v/>
      </c>
      <c r="B37" s="20" t="n"/>
      <c r="C37" s="21" t="n"/>
      <c r="M37" s="20" t="n"/>
    </row>
    <row r="38">
      <c r="A38">
        <f>IF(G38="","",ROW()-1)</f>
        <v/>
      </c>
      <c r="B38" s="20" t="n"/>
      <c r="C38" s="21" t="n"/>
      <c r="M38" s="20" t="n"/>
    </row>
    <row r="39">
      <c r="A39">
        <f>IF(G39="","",ROW()-1)</f>
        <v/>
      </c>
      <c r="B39" s="20" t="n"/>
      <c r="C39" s="21" t="n"/>
      <c r="M39" s="20" t="n"/>
    </row>
    <row r="40">
      <c r="A40">
        <f>IF(G40="","",ROW()-1)</f>
        <v/>
      </c>
      <c r="B40" s="20" t="n"/>
      <c r="C40" s="21" t="n"/>
      <c r="M40" s="20" t="n"/>
    </row>
    <row r="41">
      <c r="A41">
        <f>IF(G41="","",ROW()-1)</f>
        <v/>
      </c>
      <c r="B41" s="20" t="n"/>
      <c r="C41" s="21" t="n"/>
      <c r="M41" s="20" t="n"/>
    </row>
    <row r="42">
      <c r="A42">
        <f>IF(G42="","",ROW()-1)</f>
        <v/>
      </c>
      <c r="B42" s="20" t="n"/>
      <c r="C42" s="21" t="n"/>
      <c r="M42" s="20" t="n"/>
    </row>
    <row r="43">
      <c r="A43">
        <f>IF(G43="","",ROW()-1)</f>
        <v/>
      </c>
      <c r="B43" s="20" t="n"/>
      <c r="C43" s="21" t="n"/>
      <c r="M43" s="20" t="n"/>
    </row>
    <row r="44">
      <c r="A44">
        <f>IF(G44="","",ROW()-1)</f>
        <v/>
      </c>
      <c r="B44" s="20" t="n"/>
      <c r="C44" s="21" t="n"/>
      <c r="M44" s="20" t="n"/>
    </row>
    <row r="45">
      <c r="A45">
        <f>IF(G45="","",ROW()-1)</f>
        <v/>
      </c>
      <c r="B45" s="20" t="n"/>
      <c r="C45" s="21" t="n"/>
      <c r="M45" s="20" t="n"/>
    </row>
    <row r="46">
      <c r="A46">
        <f>IF(G46="","",ROW()-1)</f>
        <v/>
      </c>
      <c r="B46" s="20" t="n"/>
      <c r="C46" s="21" t="n"/>
      <c r="M46" s="20" t="n"/>
    </row>
    <row r="47">
      <c r="A47">
        <f>IF(G47="","",ROW()-1)</f>
        <v/>
      </c>
      <c r="B47" s="20" t="n"/>
      <c r="C47" s="21" t="n"/>
      <c r="M47" s="20" t="n"/>
    </row>
    <row r="48">
      <c r="A48">
        <f>IF(G48="","",ROW()-1)</f>
        <v/>
      </c>
      <c r="B48" s="20" t="n"/>
      <c r="C48" s="21" t="n"/>
      <c r="M48" s="20" t="n"/>
    </row>
    <row r="49">
      <c r="A49">
        <f>IF(G49="","",ROW()-1)</f>
        <v/>
      </c>
      <c r="B49" s="20" t="n"/>
      <c r="C49" s="21" t="n"/>
      <c r="M49" s="20" t="n"/>
    </row>
    <row r="50">
      <c r="A50">
        <f>IF(G50="","",ROW()-1)</f>
        <v/>
      </c>
      <c r="B50" s="20" t="n"/>
      <c r="C50" s="21" t="n"/>
      <c r="M50" s="20" t="n"/>
    </row>
    <row r="51">
      <c r="A51">
        <f>IF(G51="","",ROW()-1)</f>
        <v/>
      </c>
      <c r="B51" s="20" t="n"/>
      <c r="C51" s="21" t="n"/>
      <c r="M51" s="20" t="n"/>
    </row>
    <row r="52">
      <c r="A52">
        <f>IF(G52="","",ROW()-1)</f>
        <v/>
      </c>
      <c r="B52" s="20" t="n"/>
      <c r="C52" s="21" t="n"/>
      <c r="M52" s="20" t="n"/>
    </row>
    <row r="53">
      <c r="A53">
        <f>IF(G53="","",ROW()-1)</f>
        <v/>
      </c>
      <c r="B53" s="20" t="n"/>
      <c r="C53" s="21" t="n"/>
      <c r="M53" s="20" t="n"/>
    </row>
    <row r="54">
      <c r="A54">
        <f>IF(G54="","",ROW()-1)</f>
        <v/>
      </c>
      <c r="B54" s="20" t="n"/>
      <c r="C54" s="21" t="n"/>
      <c r="M54" s="20" t="n"/>
    </row>
    <row r="55">
      <c r="A55">
        <f>IF(G55="","",ROW()-1)</f>
        <v/>
      </c>
      <c r="B55" s="20" t="n"/>
      <c r="C55" s="21" t="n"/>
      <c r="M55" s="20" t="n"/>
    </row>
    <row r="56">
      <c r="A56">
        <f>IF(G56="","",ROW()-1)</f>
        <v/>
      </c>
      <c r="B56" s="20" t="n"/>
      <c r="C56" s="21" t="n"/>
      <c r="M56" s="20" t="n"/>
    </row>
    <row r="57">
      <c r="A57">
        <f>IF(G57="","",ROW()-1)</f>
        <v/>
      </c>
      <c r="B57" s="20" t="n"/>
      <c r="C57" s="21" t="n"/>
      <c r="M57" s="20" t="n"/>
    </row>
    <row r="58">
      <c r="A58">
        <f>IF(G58="","",ROW()-1)</f>
        <v/>
      </c>
      <c r="B58" s="20" t="n"/>
      <c r="C58" s="21" t="n"/>
      <c r="M58" s="20" t="n"/>
    </row>
    <row r="59">
      <c r="A59">
        <f>IF(G59="","",ROW()-1)</f>
        <v/>
      </c>
      <c r="B59" s="20" t="n"/>
      <c r="C59" s="21" t="n"/>
      <c r="M59" s="20" t="n"/>
    </row>
    <row r="60">
      <c r="A60">
        <f>IF(G60="","",ROW()-1)</f>
        <v/>
      </c>
      <c r="B60" s="20" t="n"/>
      <c r="C60" s="21" t="n"/>
      <c r="M60" s="20" t="n"/>
    </row>
    <row r="61">
      <c r="A61">
        <f>IF(G61="","",ROW()-1)</f>
        <v/>
      </c>
      <c r="B61" s="20" t="n"/>
      <c r="C61" s="21" t="n"/>
      <c r="M61" s="20" t="n"/>
    </row>
    <row r="62">
      <c r="A62">
        <f>IF(G62="","",ROW()-1)</f>
        <v/>
      </c>
      <c r="B62" s="20" t="n"/>
      <c r="C62" s="21" t="n"/>
      <c r="M62" s="20" t="n"/>
    </row>
    <row r="63">
      <c r="A63">
        <f>IF(G63="","",ROW()-1)</f>
        <v/>
      </c>
      <c r="B63" s="20" t="n"/>
      <c r="C63" s="21" t="n"/>
      <c r="M63" s="20" t="n"/>
    </row>
    <row r="64">
      <c r="A64">
        <f>IF(G64="","",ROW()-1)</f>
        <v/>
      </c>
      <c r="B64" s="20" t="n"/>
      <c r="C64" s="21" t="n"/>
      <c r="M64" s="20" t="n"/>
    </row>
    <row r="65">
      <c r="A65">
        <f>IF(G65="","",ROW()-1)</f>
        <v/>
      </c>
      <c r="B65" s="20" t="n"/>
      <c r="C65" s="21" t="n"/>
      <c r="M65" s="20" t="n"/>
    </row>
    <row r="66">
      <c r="A66">
        <f>IF(G66="","",ROW()-1)</f>
        <v/>
      </c>
      <c r="B66" s="20" t="n"/>
      <c r="C66" s="21" t="n"/>
      <c r="M66" s="20" t="n"/>
    </row>
    <row r="67">
      <c r="A67">
        <f>IF(G67="","",ROW()-1)</f>
        <v/>
      </c>
      <c r="B67" s="20" t="n"/>
      <c r="C67" s="21" t="n"/>
      <c r="M67" s="20" t="n"/>
    </row>
    <row r="68">
      <c r="A68">
        <f>IF(G68="","",ROW()-1)</f>
        <v/>
      </c>
      <c r="B68" s="20" t="n"/>
      <c r="C68" s="21" t="n"/>
      <c r="M68" s="20" t="n"/>
    </row>
    <row r="69">
      <c r="A69">
        <f>IF(G69="","",ROW()-1)</f>
        <v/>
      </c>
      <c r="B69" s="20" t="n"/>
      <c r="C69" s="21" t="n"/>
      <c r="M69" s="20" t="n"/>
    </row>
    <row r="70">
      <c r="A70">
        <f>IF(G70="","",ROW()-1)</f>
        <v/>
      </c>
      <c r="B70" s="20" t="n"/>
      <c r="C70" s="21" t="n"/>
      <c r="M70" s="20" t="n"/>
    </row>
    <row r="71">
      <c r="A71">
        <f>IF(G71="","",ROW()-1)</f>
        <v/>
      </c>
      <c r="B71" s="20" t="n"/>
      <c r="C71" s="21" t="n"/>
      <c r="M71" s="20" t="n"/>
    </row>
    <row r="72">
      <c r="A72">
        <f>IF(G72="","",ROW()-1)</f>
        <v/>
      </c>
      <c r="B72" s="20" t="n"/>
      <c r="C72" s="21" t="n"/>
      <c r="M72" s="20" t="n"/>
    </row>
    <row r="73">
      <c r="A73">
        <f>IF(G73="","",ROW()-1)</f>
        <v/>
      </c>
      <c r="B73" s="20" t="n"/>
      <c r="C73" s="21" t="n"/>
      <c r="M73" s="20" t="n"/>
    </row>
    <row r="74">
      <c r="A74">
        <f>IF(G74="","",ROW()-1)</f>
        <v/>
      </c>
      <c r="B74" s="20" t="n"/>
      <c r="C74" s="21" t="n"/>
      <c r="M74" s="20" t="n"/>
    </row>
    <row r="75">
      <c r="A75">
        <f>IF(G75="","",ROW()-1)</f>
        <v/>
      </c>
      <c r="B75" s="20" t="n"/>
      <c r="C75" s="21" t="n"/>
      <c r="M75" s="20" t="n"/>
    </row>
    <row r="76">
      <c r="A76">
        <f>IF(G76="","",ROW()-1)</f>
        <v/>
      </c>
      <c r="B76" s="20" t="n"/>
      <c r="C76" s="21" t="n"/>
      <c r="M76" s="20" t="n"/>
    </row>
    <row r="77">
      <c r="A77">
        <f>IF(G77="","",ROW()-1)</f>
        <v/>
      </c>
      <c r="B77" s="20" t="n"/>
      <c r="C77" s="21" t="n"/>
      <c r="M77" s="20" t="n"/>
    </row>
    <row r="78">
      <c r="A78">
        <f>IF(G78="","",ROW()-1)</f>
        <v/>
      </c>
      <c r="B78" s="20" t="n"/>
      <c r="C78" s="21" t="n"/>
      <c r="M78" s="20" t="n"/>
    </row>
    <row r="79">
      <c r="A79">
        <f>IF(G79="","",ROW()-1)</f>
        <v/>
      </c>
      <c r="B79" s="20" t="n"/>
      <c r="C79" s="21" t="n"/>
      <c r="M79" s="20" t="n"/>
    </row>
    <row r="80">
      <c r="A80">
        <f>IF(G80="","",ROW()-1)</f>
        <v/>
      </c>
      <c r="B80" s="20" t="n"/>
      <c r="C80" s="21" t="n"/>
      <c r="M80" s="20" t="n"/>
    </row>
    <row r="81">
      <c r="A81">
        <f>IF(G81="","",ROW()-1)</f>
        <v/>
      </c>
      <c r="B81" s="20" t="n"/>
      <c r="C81" s="21" t="n"/>
      <c r="M81" s="20" t="n"/>
    </row>
    <row r="82">
      <c r="A82">
        <f>IF(G82="","",ROW()-1)</f>
        <v/>
      </c>
      <c r="B82" s="20" t="n"/>
      <c r="C82" s="21" t="n"/>
      <c r="M82" s="20" t="n"/>
    </row>
    <row r="83">
      <c r="A83">
        <f>IF(G83="","",ROW()-1)</f>
        <v/>
      </c>
      <c r="B83" s="20" t="n"/>
      <c r="C83" s="21" t="n"/>
      <c r="M83" s="20" t="n"/>
    </row>
    <row r="84">
      <c r="A84">
        <f>IF(G84="","",ROW()-1)</f>
        <v/>
      </c>
      <c r="B84" s="20" t="n"/>
      <c r="C84" s="21" t="n"/>
      <c r="M84" s="20" t="n"/>
    </row>
    <row r="85">
      <c r="A85">
        <f>IF(G85="","",ROW()-1)</f>
        <v/>
      </c>
      <c r="B85" s="20" t="n"/>
      <c r="C85" s="21" t="n"/>
      <c r="M85" s="20" t="n"/>
    </row>
    <row r="86">
      <c r="A86">
        <f>IF(G86="","",ROW()-1)</f>
        <v/>
      </c>
      <c r="B86" s="20" t="n"/>
      <c r="C86" s="21" t="n"/>
      <c r="M86" s="20" t="n"/>
    </row>
    <row r="87">
      <c r="A87">
        <f>IF(G87="","",ROW()-1)</f>
        <v/>
      </c>
      <c r="B87" s="20" t="n"/>
      <c r="C87" s="21" t="n"/>
      <c r="M87" s="20" t="n"/>
    </row>
    <row r="88">
      <c r="A88">
        <f>IF(G88="","",ROW()-1)</f>
        <v/>
      </c>
      <c r="B88" s="20" t="n"/>
      <c r="C88" s="21" t="n"/>
      <c r="M88" s="20" t="n"/>
    </row>
    <row r="89">
      <c r="A89">
        <f>IF(G89="","",ROW()-1)</f>
        <v/>
      </c>
      <c r="B89" s="20" t="n"/>
      <c r="C89" s="21" t="n"/>
      <c r="M89" s="20" t="n"/>
    </row>
    <row r="90">
      <c r="A90">
        <f>IF(G90="","",ROW()-1)</f>
        <v/>
      </c>
      <c r="B90" s="20" t="n"/>
      <c r="C90" s="21" t="n"/>
      <c r="M90" s="20" t="n"/>
    </row>
    <row r="91">
      <c r="A91">
        <f>IF(G91="","",ROW()-1)</f>
        <v/>
      </c>
      <c r="B91" s="20" t="n"/>
      <c r="C91" s="21" t="n"/>
      <c r="M91" s="20" t="n"/>
    </row>
    <row r="92">
      <c r="A92">
        <f>IF(G92="","",ROW()-1)</f>
        <v/>
      </c>
      <c r="B92" s="20" t="n"/>
      <c r="C92" s="21" t="n"/>
      <c r="M92" s="20" t="n"/>
    </row>
    <row r="93">
      <c r="A93">
        <f>IF(G93="","",ROW()-1)</f>
        <v/>
      </c>
      <c r="B93" s="20" t="n"/>
      <c r="C93" s="21" t="n"/>
      <c r="M93" s="20" t="n"/>
    </row>
    <row r="94">
      <c r="A94">
        <f>IF(G94="","",ROW()-1)</f>
        <v/>
      </c>
      <c r="B94" s="20" t="n"/>
      <c r="C94" s="21" t="n"/>
      <c r="M94" s="20" t="n"/>
    </row>
    <row r="95">
      <c r="A95">
        <f>IF(G95="","",ROW()-1)</f>
        <v/>
      </c>
      <c r="B95" s="20" t="n"/>
      <c r="C95" s="21" t="n"/>
      <c r="M95" s="20" t="n"/>
    </row>
    <row r="96">
      <c r="A96">
        <f>IF(G96="","",ROW()-1)</f>
        <v/>
      </c>
      <c r="B96" s="20" t="n"/>
      <c r="C96" s="21" t="n"/>
      <c r="M96" s="20" t="n"/>
    </row>
    <row r="97">
      <c r="A97">
        <f>IF(G97="","",ROW()-1)</f>
        <v/>
      </c>
      <c r="B97" s="20" t="n"/>
      <c r="C97" s="21" t="n"/>
      <c r="M97" s="20" t="n"/>
    </row>
    <row r="98">
      <c r="A98">
        <f>IF(G98="","",ROW()-1)</f>
        <v/>
      </c>
      <c r="B98" s="20" t="n"/>
      <c r="C98" s="21" t="n"/>
      <c r="M98" s="20" t="n"/>
    </row>
    <row r="99">
      <c r="A99">
        <f>IF(G99="","",ROW()-1)</f>
        <v/>
      </c>
      <c r="B99" s="20" t="n"/>
      <c r="C99" s="21" t="n"/>
      <c r="M99" s="20" t="n"/>
    </row>
    <row r="100">
      <c r="A100">
        <f>IF(G100="","",ROW()-1)</f>
        <v/>
      </c>
      <c r="B100" s="20" t="n"/>
      <c r="C100" s="21" t="n"/>
      <c r="M100" s="20" t="n"/>
    </row>
    <row r="101">
      <c r="A101">
        <f>IF(G101="","",ROW()-1)</f>
        <v/>
      </c>
      <c r="B101" s="20" t="n"/>
      <c r="C101" s="21" t="n"/>
      <c r="M101" s="20" t="n"/>
    </row>
    <row r="102">
      <c r="A102">
        <f>IF(G102="","",ROW()-1)</f>
        <v/>
      </c>
      <c r="B102" s="20" t="n"/>
      <c r="C102" s="21" t="n"/>
      <c r="M102" s="20" t="n"/>
    </row>
    <row r="103">
      <c r="A103">
        <f>IF(G103="","",ROW()-1)</f>
        <v/>
      </c>
      <c r="B103" s="20" t="n"/>
      <c r="C103" s="21" t="n"/>
      <c r="M103" s="20" t="n"/>
    </row>
    <row r="104">
      <c r="A104">
        <f>IF(G104="","",ROW()-1)</f>
        <v/>
      </c>
      <c r="B104" s="20" t="n"/>
      <c r="C104" s="21" t="n"/>
      <c r="M104" s="20" t="n"/>
    </row>
    <row r="105">
      <c r="A105">
        <f>IF(G105="","",ROW()-1)</f>
        <v/>
      </c>
      <c r="B105" s="20" t="n"/>
      <c r="C105" s="21" t="n"/>
      <c r="M105" s="20" t="n"/>
    </row>
    <row r="106">
      <c r="A106">
        <f>IF(G106="","",ROW()-1)</f>
        <v/>
      </c>
      <c r="B106" s="20" t="n"/>
      <c r="C106" s="21" t="n"/>
      <c r="M106" s="20" t="n"/>
    </row>
    <row r="107">
      <c r="A107">
        <f>IF(G107="","",ROW()-1)</f>
        <v/>
      </c>
      <c r="B107" s="20" t="n"/>
      <c r="C107" s="21" t="n"/>
      <c r="M107" s="20" t="n"/>
    </row>
    <row r="108">
      <c r="A108">
        <f>IF(G108="","",ROW()-1)</f>
        <v/>
      </c>
      <c r="B108" s="20" t="n"/>
      <c r="C108" s="21" t="n"/>
      <c r="M108" s="20" t="n"/>
    </row>
    <row r="109">
      <c r="A109">
        <f>IF(G109="","",ROW()-1)</f>
        <v/>
      </c>
      <c r="B109" s="20" t="n"/>
      <c r="C109" s="21" t="n"/>
      <c r="M109" s="20" t="n"/>
    </row>
    <row r="110">
      <c r="A110">
        <f>IF(G110="","",ROW()-1)</f>
        <v/>
      </c>
      <c r="B110" s="20" t="n"/>
      <c r="C110" s="21" t="n"/>
      <c r="M110" s="20" t="n"/>
    </row>
    <row r="111">
      <c r="A111">
        <f>IF(G111="","",ROW()-1)</f>
        <v/>
      </c>
      <c r="B111" s="20" t="n"/>
      <c r="C111" s="21" t="n"/>
      <c r="M111" s="20" t="n"/>
    </row>
    <row r="112">
      <c r="A112">
        <f>IF(G112="","",ROW()-1)</f>
        <v/>
      </c>
      <c r="B112" s="20" t="n"/>
      <c r="C112" s="21" t="n"/>
      <c r="M112" s="20" t="n"/>
    </row>
    <row r="113">
      <c r="A113">
        <f>IF(G113="","",ROW()-1)</f>
        <v/>
      </c>
      <c r="B113" s="20" t="n"/>
      <c r="C113" s="21" t="n"/>
      <c r="M113" s="20" t="n"/>
    </row>
    <row r="114">
      <c r="A114">
        <f>IF(G114="","",ROW()-1)</f>
        <v/>
      </c>
      <c r="B114" s="20" t="n"/>
      <c r="C114" s="21" t="n"/>
      <c r="M114" s="20" t="n"/>
    </row>
    <row r="115">
      <c r="A115">
        <f>IF(G115="","",ROW()-1)</f>
        <v/>
      </c>
      <c r="B115" s="20" t="n"/>
      <c r="C115" s="21" t="n"/>
      <c r="M115" s="20" t="n"/>
    </row>
    <row r="116">
      <c r="A116">
        <f>IF(G116="","",ROW()-1)</f>
        <v/>
      </c>
      <c r="B116" s="20" t="n"/>
      <c r="C116" s="21" t="n"/>
      <c r="M116" s="20" t="n"/>
    </row>
    <row r="117">
      <c r="A117">
        <f>IF(G117="","",ROW()-1)</f>
        <v/>
      </c>
      <c r="B117" s="20" t="n"/>
      <c r="C117" s="21" t="n"/>
      <c r="M117" s="20" t="n"/>
    </row>
    <row r="118">
      <c r="A118">
        <f>IF(G118="","",ROW()-1)</f>
        <v/>
      </c>
      <c r="B118" s="20" t="n"/>
      <c r="C118" s="21" t="n"/>
      <c r="M118" s="20" t="n"/>
    </row>
    <row r="119">
      <c r="A119">
        <f>IF(G119="","",ROW()-1)</f>
        <v/>
      </c>
      <c r="B119" s="20" t="n"/>
      <c r="C119" s="21" t="n"/>
      <c r="M119" s="20" t="n"/>
    </row>
    <row r="120">
      <c r="A120">
        <f>IF(G120="","",ROW()-1)</f>
        <v/>
      </c>
      <c r="B120" s="20" t="n"/>
      <c r="C120" s="21" t="n"/>
      <c r="M120" s="20" t="n"/>
    </row>
    <row r="121">
      <c r="A121">
        <f>IF(G121="","",ROW()-1)</f>
        <v/>
      </c>
      <c r="B121" s="20" t="n"/>
      <c r="C121" s="21" t="n"/>
      <c r="M121" s="20" t="n"/>
    </row>
    <row r="122">
      <c r="A122">
        <f>IF(G122="","",ROW()-1)</f>
        <v/>
      </c>
      <c r="B122" s="20" t="n"/>
      <c r="C122" s="21" t="n"/>
      <c r="M122" s="20" t="n"/>
    </row>
    <row r="123">
      <c r="A123">
        <f>IF(G123="","",ROW()-1)</f>
        <v/>
      </c>
      <c r="B123" s="20" t="n"/>
      <c r="C123" s="21" t="n"/>
      <c r="M123" s="20" t="n"/>
    </row>
    <row r="124">
      <c r="A124">
        <f>IF(G124="","",ROW()-1)</f>
        <v/>
      </c>
      <c r="B124" s="20" t="n"/>
      <c r="C124" s="21" t="n"/>
      <c r="M124" s="20" t="n"/>
    </row>
    <row r="125">
      <c r="A125">
        <f>IF(G125="","",ROW()-1)</f>
        <v/>
      </c>
      <c r="B125" s="20" t="n"/>
      <c r="C125" s="21" t="n"/>
      <c r="M125" s="20" t="n"/>
    </row>
    <row r="126">
      <c r="A126">
        <f>IF(G126="","",ROW()-1)</f>
        <v/>
      </c>
      <c r="B126" s="20" t="n"/>
      <c r="C126" s="21" t="n"/>
      <c r="M126" s="20" t="n"/>
    </row>
    <row r="127">
      <c r="A127">
        <f>IF(G127="","",ROW()-1)</f>
        <v/>
      </c>
      <c r="B127" s="20" t="n"/>
      <c r="C127" s="21" t="n"/>
      <c r="M127" s="20" t="n"/>
    </row>
    <row r="128">
      <c r="A128">
        <f>IF(G128="","",ROW()-1)</f>
        <v/>
      </c>
      <c r="B128" s="20" t="n"/>
      <c r="C128" s="21" t="n"/>
      <c r="M128" s="20" t="n"/>
    </row>
    <row r="129">
      <c r="A129">
        <f>IF(G129="","",ROW()-1)</f>
        <v/>
      </c>
      <c r="B129" s="20" t="n"/>
      <c r="C129" s="21" t="n"/>
      <c r="M129" s="20" t="n"/>
    </row>
    <row r="130">
      <c r="A130">
        <f>IF(G130="","",ROW()-1)</f>
        <v/>
      </c>
      <c r="B130" s="20" t="n"/>
      <c r="C130" s="21" t="n"/>
      <c r="M130" s="20" t="n"/>
    </row>
    <row r="131">
      <c r="A131">
        <f>IF(G131="","",ROW()-1)</f>
        <v/>
      </c>
      <c r="B131" s="20" t="n"/>
      <c r="C131" s="21" t="n"/>
      <c r="M131" s="20" t="n"/>
    </row>
    <row r="132">
      <c r="A132">
        <f>IF(G132="","",ROW()-1)</f>
        <v/>
      </c>
      <c r="B132" s="20" t="n"/>
      <c r="C132" s="21" t="n"/>
      <c r="M132" s="20" t="n"/>
    </row>
    <row r="133">
      <c r="A133">
        <f>IF(G133="","",ROW()-1)</f>
        <v/>
      </c>
      <c r="B133" s="20" t="n"/>
      <c r="C133" s="21" t="n"/>
      <c r="M133" s="20" t="n"/>
    </row>
    <row r="134">
      <c r="A134">
        <f>IF(G134="","",ROW()-1)</f>
        <v/>
      </c>
      <c r="B134" s="20" t="n"/>
      <c r="C134" s="21" t="n"/>
      <c r="M134" s="20" t="n"/>
    </row>
    <row r="135">
      <c r="A135">
        <f>IF(G135="","",ROW()-1)</f>
        <v/>
      </c>
      <c r="B135" s="20" t="n"/>
      <c r="C135" s="21" t="n"/>
      <c r="M135" s="20" t="n"/>
    </row>
    <row r="136">
      <c r="A136">
        <f>IF(G136="","",ROW()-1)</f>
        <v/>
      </c>
      <c r="B136" s="20" t="n"/>
      <c r="C136" s="21" t="n"/>
      <c r="M136" s="20" t="n"/>
    </row>
    <row r="137">
      <c r="A137">
        <f>IF(G137="","",ROW()-1)</f>
        <v/>
      </c>
      <c r="B137" s="20" t="n"/>
      <c r="C137" s="21" t="n"/>
      <c r="M137" s="20" t="n"/>
    </row>
    <row r="138">
      <c r="A138">
        <f>IF(G138="","",ROW()-1)</f>
        <v/>
      </c>
      <c r="B138" s="20" t="n"/>
      <c r="C138" s="21" t="n"/>
      <c r="M138" s="20" t="n"/>
    </row>
    <row r="139">
      <c r="A139">
        <f>IF(G139="","",ROW()-1)</f>
        <v/>
      </c>
      <c r="B139" s="20" t="n"/>
      <c r="C139" s="21" t="n"/>
      <c r="M139" s="20" t="n"/>
    </row>
    <row r="140">
      <c r="A140">
        <f>IF(G140="","",ROW()-1)</f>
        <v/>
      </c>
      <c r="B140" s="20" t="n"/>
      <c r="C140" s="21" t="n"/>
      <c r="M140" s="20" t="n"/>
    </row>
    <row r="141">
      <c r="A141">
        <f>IF(G141="","",ROW()-1)</f>
        <v/>
      </c>
      <c r="B141" s="20" t="n"/>
      <c r="C141" s="21" t="n"/>
      <c r="M141" s="20" t="n"/>
    </row>
    <row r="142">
      <c r="A142">
        <f>IF(G142="","",ROW()-1)</f>
        <v/>
      </c>
      <c r="B142" s="20" t="n"/>
      <c r="C142" s="21" t="n"/>
      <c r="M142" s="20" t="n"/>
    </row>
    <row r="143">
      <c r="A143">
        <f>IF(G143="","",ROW()-1)</f>
        <v/>
      </c>
      <c r="B143" s="20" t="n"/>
      <c r="C143" s="21" t="n"/>
      <c r="M143" s="20" t="n"/>
    </row>
    <row r="144">
      <c r="A144">
        <f>IF(G144="","",ROW()-1)</f>
        <v/>
      </c>
      <c r="B144" s="20" t="n"/>
      <c r="C144" s="21" t="n"/>
      <c r="M144" s="20" t="n"/>
    </row>
    <row r="145">
      <c r="A145">
        <f>IF(G145="","",ROW()-1)</f>
        <v/>
      </c>
      <c r="B145" s="20" t="n"/>
      <c r="C145" s="21" t="n"/>
      <c r="M145" s="20" t="n"/>
    </row>
    <row r="146">
      <c r="A146">
        <f>IF(G146="","",ROW()-1)</f>
        <v/>
      </c>
      <c r="B146" s="20" t="n"/>
      <c r="C146" s="21" t="n"/>
      <c r="M146" s="20" t="n"/>
    </row>
    <row r="147">
      <c r="A147">
        <f>IF(G147="","",ROW()-1)</f>
        <v/>
      </c>
      <c r="B147" s="20" t="n"/>
      <c r="C147" s="21" t="n"/>
      <c r="M147" s="20" t="n"/>
    </row>
    <row r="148">
      <c r="A148">
        <f>IF(G148="","",ROW()-1)</f>
        <v/>
      </c>
      <c r="B148" s="20" t="n"/>
      <c r="C148" s="21" t="n"/>
      <c r="M148" s="20" t="n"/>
    </row>
    <row r="149">
      <c r="A149">
        <f>IF(G149="","",ROW()-1)</f>
        <v/>
      </c>
      <c r="B149" s="20" t="n"/>
      <c r="C149" s="21" t="n"/>
      <c r="M149" s="20" t="n"/>
    </row>
    <row r="150">
      <c r="A150">
        <f>IF(G150="","",ROW()-1)</f>
        <v/>
      </c>
      <c r="B150" s="20" t="n"/>
      <c r="C150" s="21" t="n"/>
      <c r="M150" s="20" t="n"/>
    </row>
    <row r="151">
      <c r="A151">
        <f>IF(G151="","",ROW()-1)</f>
        <v/>
      </c>
      <c r="B151" s="20" t="n"/>
      <c r="C151" s="21" t="n"/>
      <c r="M151" s="20" t="n"/>
    </row>
    <row r="152">
      <c r="A152">
        <f>IF(G152="","",ROW()-1)</f>
        <v/>
      </c>
      <c r="B152" s="20" t="n"/>
      <c r="C152" s="21" t="n"/>
      <c r="M152" s="20" t="n"/>
    </row>
    <row r="153">
      <c r="A153">
        <f>IF(G153="","",ROW()-1)</f>
        <v/>
      </c>
      <c r="B153" s="20" t="n"/>
      <c r="C153" s="21" t="n"/>
      <c r="M153" s="20" t="n"/>
    </row>
    <row r="154">
      <c r="A154">
        <f>IF(G154="","",ROW()-1)</f>
        <v/>
      </c>
      <c r="B154" s="20" t="n"/>
      <c r="C154" s="21" t="n"/>
      <c r="M154" s="20" t="n"/>
    </row>
    <row r="155">
      <c r="A155">
        <f>IF(G155="","",ROW()-1)</f>
        <v/>
      </c>
      <c r="B155" s="20" t="n"/>
      <c r="C155" s="21" t="n"/>
      <c r="M155" s="20" t="n"/>
    </row>
    <row r="156">
      <c r="A156">
        <f>IF(G156="","",ROW()-1)</f>
        <v/>
      </c>
      <c r="B156" s="20" t="n"/>
      <c r="C156" s="21" t="n"/>
      <c r="M156" s="20" t="n"/>
    </row>
    <row r="157">
      <c r="A157">
        <f>IF(G157="","",ROW()-1)</f>
        <v/>
      </c>
      <c r="B157" s="20" t="n"/>
      <c r="C157" s="21" t="n"/>
      <c r="M157" s="20" t="n"/>
    </row>
    <row r="158">
      <c r="A158">
        <f>IF(G158="","",ROW()-1)</f>
        <v/>
      </c>
      <c r="B158" s="20" t="n"/>
      <c r="C158" s="21" t="n"/>
      <c r="M158" s="20" t="n"/>
    </row>
    <row r="159">
      <c r="A159">
        <f>IF(G159="","",ROW()-1)</f>
        <v/>
      </c>
      <c r="B159" s="20" t="n"/>
      <c r="C159" s="21" t="n"/>
      <c r="M159" s="20" t="n"/>
    </row>
    <row r="160">
      <c r="A160">
        <f>IF(G160="","",ROW()-1)</f>
        <v/>
      </c>
      <c r="B160" s="20" t="n"/>
      <c r="C160" s="21" t="n"/>
      <c r="M160" s="20" t="n"/>
    </row>
    <row r="161">
      <c r="A161">
        <f>IF(G161="","",ROW()-1)</f>
        <v/>
      </c>
      <c r="B161" s="20" t="n"/>
      <c r="C161" s="21" t="n"/>
      <c r="M161" s="20" t="n"/>
    </row>
    <row r="162">
      <c r="A162">
        <f>IF(G162="","",ROW()-1)</f>
        <v/>
      </c>
      <c r="B162" s="20" t="n"/>
      <c r="C162" s="21" t="n"/>
      <c r="M162" s="20" t="n"/>
    </row>
    <row r="163">
      <c r="A163">
        <f>IF(G163="","",ROW()-1)</f>
        <v/>
      </c>
      <c r="B163" s="20" t="n"/>
      <c r="C163" s="21" t="n"/>
      <c r="M163" s="20" t="n"/>
    </row>
    <row r="164">
      <c r="A164">
        <f>IF(G164="","",ROW()-1)</f>
        <v/>
      </c>
      <c r="B164" s="20" t="n"/>
      <c r="C164" s="21" t="n"/>
      <c r="M164" s="20" t="n"/>
    </row>
    <row r="165">
      <c r="A165">
        <f>IF(G165="","",ROW()-1)</f>
        <v/>
      </c>
      <c r="B165" s="20" t="n"/>
      <c r="C165" s="21" t="n"/>
      <c r="M165" s="20" t="n"/>
    </row>
    <row r="166">
      <c r="A166">
        <f>IF(G166="","",ROW()-1)</f>
        <v/>
      </c>
      <c r="B166" s="20" t="n"/>
      <c r="C166" s="21" t="n"/>
      <c r="M166" s="20" t="n"/>
    </row>
    <row r="167">
      <c r="A167">
        <f>IF(G167="","",ROW()-1)</f>
        <v/>
      </c>
      <c r="B167" s="20" t="n"/>
      <c r="C167" s="21" t="n"/>
      <c r="M167" s="20" t="n"/>
    </row>
    <row r="168">
      <c r="A168">
        <f>IF(G168="","",ROW()-1)</f>
        <v/>
      </c>
      <c r="B168" s="20" t="n"/>
      <c r="C168" s="21" t="n"/>
      <c r="M168" s="20" t="n"/>
    </row>
    <row r="169">
      <c r="A169">
        <f>IF(G169="","",ROW()-1)</f>
        <v/>
      </c>
      <c r="B169" s="20" t="n"/>
      <c r="C169" s="21" t="n"/>
      <c r="M169" s="20" t="n"/>
    </row>
    <row r="170">
      <c r="A170">
        <f>IF(G170="","",ROW()-1)</f>
        <v/>
      </c>
      <c r="B170" s="20" t="n"/>
      <c r="C170" s="21" t="n"/>
      <c r="M170" s="20" t="n"/>
    </row>
    <row r="171">
      <c r="A171">
        <f>IF(G171="","",ROW()-1)</f>
        <v/>
      </c>
      <c r="B171" s="20" t="n"/>
      <c r="C171" s="21" t="n"/>
      <c r="M171" s="20" t="n"/>
    </row>
    <row r="172">
      <c r="A172">
        <f>IF(G172="","",ROW()-1)</f>
        <v/>
      </c>
      <c r="B172" s="20" t="n"/>
      <c r="C172" s="21" t="n"/>
      <c r="M172" s="20" t="n"/>
    </row>
    <row r="173">
      <c r="A173">
        <f>IF(G173="","",ROW()-1)</f>
        <v/>
      </c>
      <c r="B173" s="20" t="n"/>
      <c r="C173" s="21" t="n"/>
      <c r="M173" s="20" t="n"/>
    </row>
    <row r="174">
      <c r="A174">
        <f>IF(G174="","",ROW()-1)</f>
        <v/>
      </c>
      <c r="B174" s="20" t="n"/>
      <c r="C174" s="21" t="n"/>
      <c r="M174" s="20" t="n"/>
    </row>
    <row r="175">
      <c r="A175">
        <f>IF(G175="","",ROW()-1)</f>
        <v/>
      </c>
      <c r="B175" s="20" t="n"/>
      <c r="C175" s="21" t="n"/>
      <c r="M175" s="20" t="n"/>
    </row>
    <row r="176">
      <c r="A176">
        <f>IF(G176="","",ROW()-1)</f>
        <v/>
      </c>
      <c r="B176" s="20" t="n"/>
      <c r="C176" s="21" t="n"/>
      <c r="M176" s="20" t="n"/>
    </row>
    <row r="177">
      <c r="A177">
        <f>IF(G177="","",ROW()-1)</f>
        <v/>
      </c>
      <c r="B177" s="20" t="n"/>
      <c r="C177" s="21" t="n"/>
      <c r="M177" s="20" t="n"/>
    </row>
    <row r="178">
      <c r="A178">
        <f>IF(G178="","",ROW()-1)</f>
        <v/>
      </c>
      <c r="B178" s="20" t="n"/>
      <c r="C178" s="21" t="n"/>
      <c r="M178" s="20" t="n"/>
    </row>
    <row r="179">
      <c r="A179">
        <f>IF(G179="","",ROW()-1)</f>
        <v/>
      </c>
      <c r="B179" s="20" t="n"/>
      <c r="C179" s="21" t="n"/>
      <c r="M179" s="20" t="n"/>
    </row>
    <row r="180">
      <c r="A180">
        <f>IF(G180="","",ROW()-1)</f>
        <v/>
      </c>
      <c r="B180" s="20" t="n"/>
      <c r="C180" s="21" t="n"/>
      <c r="M180" s="20" t="n"/>
    </row>
    <row r="181">
      <c r="A181">
        <f>IF(G181="","",ROW()-1)</f>
        <v/>
      </c>
      <c r="B181" s="20" t="n"/>
      <c r="C181" s="21" t="n"/>
      <c r="M181" s="20" t="n"/>
    </row>
    <row r="182">
      <c r="A182">
        <f>IF(G182="","",ROW()-1)</f>
        <v/>
      </c>
      <c r="B182" s="20" t="n"/>
      <c r="C182" s="21" t="n"/>
      <c r="M182" s="20" t="n"/>
    </row>
    <row r="183">
      <c r="A183">
        <f>IF(G183="","",ROW()-1)</f>
        <v/>
      </c>
      <c r="B183" s="20" t="n"/>
      <c r="C183" s="21" t="n"/>
      <c r="M183" s="20" t="n"/>
    </row>
    <row r="184">
      <c r="A184">
        <f>IF(G184="","",ROW()-1)</f>
        <v/>
      </c>
      <c r="B184" s="20" t="n"/>
      <c r="C184" s="21" t="n"/>
      <c r="M184" s="20" t="n"/>
    </row>
    <row r="185">
      <c r="A185">
        <f>IF(G185="","",ROW()-1)</f>
        <v/>
      </c>
      <c r="B185" s="20" t="n"/>
      <c r="C185" s="21" t="n"/>
      <c r="M185" s="20" t="n"/>
    </row>
    <row r="186">
      <c r="A186">
        <f>IF(G186="","",ROW()-1)</f>
        <v/>
      </c>
      <c r="B186" s="20" t="n"/>
      <c r="C186" s="21" t="n"/>
      <c r="M186" s="20" t="n"/>
    </row>
    <row r="187">
      <c r="A187">
        <f>IF(G187="","",ROW()-1)</f>
        <v/>
      </c>
      <c r="B187" s="20" t="n"/>
      <c r="C187" s="21" t="n"/>
      <c r="M187" s="20" t="n"/>
    </row>
    <row r="188">
      <c r="A188">
        <f>IF(G188="","",ROW()-1)</f>
        <v/>
      </c>
      <c r="B188" s="20" t="n"/>
      <c r="C188" s="21" t="n"/>
      <c r="M188" s="20" t="n"/>
    </row>
    <row r="189">
      <c r="A189">
        <f>IF(G189="","",ROW()-1)</f>
        <v/>
      </c>
      <c r="B189" s="20" t="n"/>
      <c r="C189" s="21" t="n"/>
      <c r="M189" s="20" t="n"/>
    </row>
    <row r="190">
      <c r="A190">
        <f>IF(G190="","",ROW()-1)</f>
        <v/>
      </c>
      <c r="B190" s="20" t="n"/>
      <c r="C190" s="21" t="n"/>
      <c r="M190" s="20" t="n"/>
    </row>
    <row r="191">
      <c r="A191">
        <f>IF(G191="","",ROW()-1)</f>
        <v/>
      </c>
      <c r="B191" s="20" t="n"/>
      <c r="C191" s="21" t="n"/>
      <c r="M191" s="20" t="n"/>
    </row>
    <row r="192">
      <c r="A192">
        <f>IF(G192="","",ROW()-1)</f>
        <v/>
      </c>
      <c r="B192" s="20" t="n"/>
      <c r="C192" s="21" t="n"/>
      <c r="M192" s="20" t="n"/>
    </row>
    <row r="193">
      <c r="A193">
        <f>IF(G193="","",ROW()-1)</f>
        <v/>
      </c>
      <c r="B193" s="20" t="n"/>
      <c r="C193" s="21" t="n"/>
      <c r="M193" s="20" t="n"/>
    </row>
    <row r="194">
      <c r="A194">
        <f>IF(G194="","",ROW()-1)</f>
        <v/>
      </c>
      <c r="B194" s="20" t="n"/>
      <c r="C194" s="21" t="n"/>
      <c r="M194" s="20" t="n"/>
    </row>
    <row r="195">
      <c r="A195">
        <f>IF(G195="","",ROW()-1)</f>
        <v/>
      </c>
      <c r="B195" s="20" t="n"/>
      <c r="C195" s="21" t="n"/>
      <c r="M195" s="20" t="n"/>
    </row>
    <row r="196">
      <c r="A196">
        <f>IF(G196="","",ROW()-1)</f>
        <v/>
      </c>
      <c r="B196" s="20" t="n"/>
      <c r="C196" s="21" t="n"/>
      <c r="M196" s="20" t="n"/>
    </row>
    <row r="197">
      <c r="A197">
        <f>IF(G197="","",ROW()-1)</f>
        <v/>
      </c>
      <c r="B197" s="20" t="n"/>
      <c r="C197" s="21" t="n"/>
      <c r="M197" s="20" t="n"/>
    </row>
    <row r="198">
      <c r="A198">
        <f>IF(G198="","",ROW()-1)</f>
        <v/>
      </c>
      <c r="B198" s="20" t="n"/>
      <c r="C198" s="21" t="n"/>
      <c r="M198" s="20" t="n"/>
    </row>
    <row r="199">
      <c r="A199">
        <f>IF(G199="","",ROW()-1)</f>
        <v/>
      </c>
      <c r="B199" s="20" t="n"/>
      <c r="C199" s="21" t="n"/>
      <c r="M199" s="20" t="n"/>
    </row>
    <row r="200">
      <c r="A200">
        <f>IF(G200="","",ROW()-1)</f>
        <v/>
      </c>
      <c r="B200" s="20" t="n"/>
      <c r="C200" s="21" t="n"/>
      <c r="M200" s="20" t="n"/>
    </row>
    <row r="201">
      <c r="A201">
        <f>IF(G201="","",ROW()-1)</f>
        <v/>
      </c>
      <c r="B201" s="20" t="n"/>
      <c r="C201" s="21" t="n"/>
      <c r="M201" s="20" t="n"/>
    </row>
    <row r="202">
      <c r="A202">
        <f>IF(G202="","",ROW()-1)</f>
        <v/>
      </c>
      <c r="B202" s="20" t="n"/>
      <c r="C202" s="21" t="n"/>
      <c r="M202" s="20" t="n"/>
    </row>
    <row r="203">
      <c r="A203">
        <f>IF(G203="","",ROW()-1)</f>
        <v/>
      </c>
      <c r="B203" s="20" t="n"/>
      <c r="C203" s="21" t="n"/>
      <c r="M203" s="20" t="n"/>
    </row>
    <row r="204">
      <c r="A204">
        <f>IF(G204="","",ROW()-1)</f>
        <v/>
      </c>
      <c r="B204" s="20" t="n"/>
      <c r="C204" s="21" t="n"/>
      <c r="M204" s="20" t="n"/>
    </row>
    <row r="205">
      <c r="A205">
        <f>IF(G205="","",ROW()-1)</f>
        <v/>
      </c>
      <c r="B205" s="20" t="n"/>
      <c r="C205" s="21" t="n"/>
      <c r="M205" s="20" t="n"/>
    </row>
    <row r="206">
      <c r="A206">
        <f>IF(G206="","",ROW()-1)</f>
        <v/>
      </c>
      <c r="B206" s="20" t="n"/>
      <c r="C206" s="21" t="n"/>
      <c r="M206" s="20" t="n"/>
    </row>
    <row r="207">
      <c r="A207">
        <f>IF(G207="","",ROW()-1)</f>
        <v/>
      </c>
      <c r="B207" s="20" t="n"/>
      <c r="C207" s="21" t="n"/>
      <c r="M207" s="20" t="n"/>
    </row>
    <row r="208">
      <c r="A208">
        <f>IF(G208="","",ROW()-1)</f>
        <v/>
      </c>
      <c r="B208" s="20" t="n"/>
      <c r="C208" s="21" t="n"/>
      <c r="M208" s="20" t="n"/>
    </row>
    <row r="209">
      <c r="A209">
        <f>IF(G209="","",ROW()-1)</f>
        <v/>
      </c>
      <c r="B209" s="20" t="n"/>
      <c r="C209" s="21" t="n"/>
      <c r="M209" s="20" t="n"/>
    </row>
    <row r="210">
      <c r="A210">
        <f>IF(G210="","",ROW()-1)</f>
        <v/>
      </c>
      <c r="B210" s="20" t="n"/>
      <c r="C210" s="21" t="n"/>
      <c r="M210" s="20" t="n"/>
    </row>
    <row r="211">
      <c r="A211">
        <f>IF(G211="","",ROW()-1)</f>
        <v/>
      </c>
      <c r="B211" s="20" t="n"/>
      <c r="C211" s="21" t="n"/>
      <c r="M211" s="20" t="n"/>
    </row>
    <row r="212">
      <c r="A212">
        <f>IF(G212="","",ROW()-1)</f>
        <v/>
      </c>
      <c r="B212" s="20" t="n"/>
      <c r="C212" s="21" t="n"/>
      <c r="M212" s="20" t="n"/>
    </row>
    <row r="213">
      <c r="A213">
        <f>IF(G213="","",ROW()-1)</f>
        <v/>
      </c>
      <c r="B213" s="20" t="n"/>
      <c r="C213" s="21" t="n"/>
      <c r="M213" s="20" t="n"/>
    </row>
    <row r="214">
      <c r="A214">
        <f>IF(G214="","",ROW()-1)</f>
        <v/>
      </c>
      <c r="B214" s="20" t="n"/>
      <c r="C214" s="21" t="n"/>
      <c r="M214" s="20" t="n"/>
    </row>
    <row r="215">
      <c r="A215">
        <f>IF(G215="","",ROW()-1)</f>
        <v/>
      </c>
      <c r="B215" s="20" t="n"/>
      <c r="C215" s="21" t="n"/>
      <c r="M215" s="20" t="n"/>
    </row>
    <row r="216">
      <c r="A216">
        <f>IF(G216="","",ROW()-1)</f>
        <v/>
      </c>
      <c r="B216" s="20" t="n"/>
      <c r="C216" s="21" t="n"/>
      <c r="M216" s="20" t="n"/>
    </row>
    <row r="217">
      <c r="A217">
        <f>IF(G217="","",ROW()-1)</f>
        <v/>
      </c>
      <c r="B217" s="20" t="n"/>
      <c r="C217" s="21" t="n"/>
      <c r="M217" s="20" t="n"/>
    </row>
    <row r="218">
      <c r="A218">
        <f>IF(G218="","",ROW()-1)</f>
        <v/>
      </c>
      <c r="B218" s="20" t="n"/>
      <c r="C218" s="21" t="n"/>
      <c r="M218" s="20" t="n"/>
    </row>
    <row r="219">
      <c r="A219">
        <f>IF(G219="","",ROW()-1)</f>
        <v/>
      </c>
      <c r="B219" s="20" t="n"/>
      <c r="C219" s="21" t="n"/>
      <c r="M219" s="20" t="n"/>
    </row>
    <row r="220">
      <c r="A220">
        <f>IF(G220="","",ROW()-1)</f>
        <v/>
      </c>
      <c r="B220" s="20" t="n"/>
      <c r="C220" s="21" t="n"/>
      <c r="M220" s="20" t="n"/>
    </row>
    <row r="221">
      <c r="A221">
        <f>IF(G221="","",ROW()-1)</f>
        <v/>
      </c>
      <c r="B221" s="20" t="n"/>
      <c r="C221" s="21" t="n"/>
      <c r="M221" s="20" t="n"/>
    </row>
    <row r="222">
      <c r="A222">
        <f>IF(G222="","",ROW()-1)</f>
        <v/>
      </c>
      <c r="B222" s="20" t="n"/>
      <c r="C222" s="21" t="n"/>
      <c r="M222" s="20" t="n"/>
    </row>
    <row r="223">
      <c r="A223">
        <f>IF(G223="","",ROW()-1)</f>
        <v/>
      </c>
      <c r="B223" s="20" t="n"/>
      <c r="C223" s="21" t="n"/>
      <c r="M223" s="20" t="n"/>
    </row>
    <row r="224">
      <c r="A224">
        <f>IF(G224="","",ROW()-1)</f>
        <v/>
      </c>
      <c r="B224" s="20" t="n"/>
      <c r="C224" s="21" t="n"/>
      <c r="M224" s="20" t="n"/>
    </row>
    <row r="225">
      <c r="A225">
        <f>IF(G225="","",ROW()-1)</f>
        <v/>
      </c>
      <c r="B225" s="20" t="n"/>
      <c r="C225" s="21" t="n"/>
      <c r="M225" s="20" t="n"/>
    </row>
    <row r="226">
      <c r="A226">
        <f>IF(G226="","",ROW()-1)</f>
        <v/>
      </c>
      <c r="B226" s="20" t="n"/>
      <c r="C226" s="21" t="n"/>
      <c r="M226" s="20" t="n"/>
    </row>
    <row r="227">
      <c r="A227">
        <f>IF(G227="","",ROW()-1)</f>
        <v/>
      </c>
      <c r="B227" s="20" t="n"/>
      <c r="C227" s="21" t="n"/>
      <c r="M227" s="20" t="n"/>
    </row>
    <row r="228">
      <c r="A228">
        <f>IF(G228="","",ROW()-1)</f>
        <v/>
      </c>
      <c r="B228" s="20" t="n"/>
      <c r="C228" s="21" t="n"/>
      <c r="M228" s="20" t="n"/>
    </row>
    <row r="229">
      <c r="A229">
        <f>IF(G229="","",ROW()-1)</f>
        <v/>
      </c>
      <c r="B229" s="20" t="n"/>
      <c r="C229" s="21" t="n"/>
      <c r="M229" s="20" t="n"/>
    </row>
    <row r="230">
      <c r="A230">
        <f>IF(G230="","",ROW()-1)</f>
        <v/>
      </c>
      <c r="B230" s="20" t="n"/>
      <c r="C230" s="21" t="n"/>
      <c r="M230" s="20" t="n"/>
    </row>
    <row r="231">
      <c r="A231">
        <f>IF(G231="","",ROW()-1)</f>
        <v/>
      </c>
      <c r="B231" s="20" t="n"/>
      <c r="C231" s="21" t="n"/>
      <c r="M231" s="20" t="n"/>
    </row>
    <row r="232">
      <c r="A232">
        <f>IF(G232="","",ROW()-1)</f>
        <v/>
      </c>
      <c r="B232" s="20" t="n"/>
      <c r="C232" s="21" t="n"/>
      <c r="M232" s="20" t="n"/>
    </row>
    <row r="233">
      <c r="A233">
        <f>IF(G233="","",ROW()-1)</f>
        <v/>
      </c>
      <c r="B233" s="20" t="n"/>
      <c r="C233" s="21" t="n"/>
      <c r="M233" s="20" t="n"/>
    </row>
    <row r="234">
      <c r="A234">
        <f>IF(G234="","",ROW()-1)</f>
        <v/>
      </c>
      <c r="B234" s="20" t="n"/>
      <c r="C234" s="21" t="n"/>
      <c r="M234" s="20" t="n"/>
    </row>
    <row r="235">
      <c r="A235">
        <f>IF(G235="","",ROW()-1)</f>
        <v/>
      </c>
      <c r="B235" s="20" t="n"/>
      <c r="C235" s="21" t="n"/>
      <c r="M235" s="20" t="n"/>
    </row>
    <row r="236">
      <c r="A236">
        <f>IF(G236="","",ROW()-1)</f>
        <v/>
      </c>
      <c r="B236" s="20" t="n"/>
      <c r="C236" s="21" t="n"/>
      <c r="M236" s="20" t="n"/>
    </row>
    <row r="237">
      <c r="A237">
        <f>IF(G237="","",ROW()-1)</f>
        <v/>
      </c>
      <c r="B237" s="20" t="n"/>
      <c r="C237" s="21" t="n"/>
      <c r="M237" s="20" t="n"/>
    </row>
    <row r="238">
      <c r="A238">
        <f>IF(G238="","",ROW()-1)</f>
        <v/>
      </c>
      <c r="B238" s="20" t="n"/>
      <c r="C238" s="21" t="n"/>
      <c r="M238" s="20" t="n"/>
    </row>
    <row r="239">
      <c r="A239">
        <f>IF(G239="","",ROW()-1)</f>
        <v/>
      </c>
      <c r="B239" s="20" t="n"/>
      <c r="C239" s="21" t="n"/>
      <c r="M239" s="20" t="n"/>
    </row>
    <row r="240">
      <c r="A240">
        <f>IF(G240="","",ROW()-1)</f>
        <v/>
      </c>
      <c r="B240" s="20" t="n"/>
      <c r="C240" s="21" t="n"/>
      <c r="M240" s="20" t="n"/>
    </row>
    <row r="241">
      <c r="A241">
        <f>IF(G241="","",ROW()-1)</f>
        <v/>
      </c>
      <c r="B241" s="20" t="n"/>
      <c r="C241" s="21" t="n"/>
      <c r="M241" s="20" t="n"/>
    </row>
    <row r="242">
      <c r="A242">
        <f>IF(G242="","",ROW()-1)</f>
        <v/>
      </c>
      <c r="B242" s="20" t="n"/>
      <c r="C242" s="21" t="n"/>
      <c r="M242" s="20" t="n"/>
    </row>
    <row r="243">
      <c r="A243">
        <f>IF(G243="","",ROW()-1)</f>
        <v/>
      </c>
      <c r="B243" s="20" t="n"/>
      <c r="C243" s="21" t="n"/>
      <c r="M243" s="20" t="n"/>
    </row>
    <row r="244">
      <c r="A244">
        <f>IF(G244="","",ROW()-1)</f>
        <v/>
      </c>
      <c r="B244" s="20" t="n"/>
      <c r="C244" s="21" t="n"/>
      <c r="M244" s="20" t="n"/>
    </row>
    <row r="245">
      <c r="A245">
        <f>IF(G245="","",ROW()-1)</f>
        <v/>
      </c>
      <c r="B245" s="20" t="n"/>
      <c r="C245" s="21" t="n"/>
      <c r="M245" s="20" t="n"/>
    </row>
    <row r="246">
      <c r="A246">
        <f>IF(G246="","",ROW()-1)</f>
        <v/>
      </c>
      <c r="B246" s="20" t="n"/>
      <c r="C246" s="21" t="n"/>
      <c r="M246" s="20" t="n"/>
    </row>
    <row r="247">
      <c r="A247">
        <f>IF(G247="","",ROW()-1)</f>
        <v/>
      </c>
      <c r="B247" s="20" t="n"/>
      <c r="C247" s="21" t="n"/>
      <c r="M247" s="20" t="n"/>
    </row>
    <row r="248">
      <c r="A248">
        <f>IF(G248="","",ROW()-1)</f>
        <v/>
      </c>
      <c r="B248" s="20" t="n"/>
      <c r="C248" s="21" t="n"/>
      <c r="M248" s="20" t="n"/>
    </row>
    <row r="249">
      <c r="A249">
        <f>IF(G249="","",ROW()-1)</f>
        <v/>
      </c>
      <c r="B249" s="20" t="n"/>
      <c r="C249" s="21" t="n"/>
      <c r="M249" s="20" t="n"/>
    </row>
    <row r="250">
      <c r="A250">
        <f>IF(G250="","",ROW()-1)</f>
        <v/>
      </c>
      <c r="B250" s="20" t="n"/>
      <c r="C250" s="21" t="n"/>
      <c r="M250" s="20" t="n"/>
    </row>
    <row r="251">
      <c r="A251">
        <f>IF(G251="","",ROW()-1)</f>
        <v/>
      </c>
      <c r="B251" s="20" t="n"/>
      <c r="C251" s="21" t="n"/>
      <c r="M251" s="20" t="n"/>
    </row>
    <row r="252">
      <c r="A252">
        <f>IF(G252="","",ROW()-1)</f>
        <v/>
      </c>
      <c r="B252" s="20" t="n"/>
      <c r="C252" s="21" t="n"/>
      <c r="M252" s="20" t="n"/>
    </row>
    <row r="253">
      <c r="A253">
        <f>IF(G253="","",ROW()-1)</f>
        <v/>
      </c>
      <c r="B253" s="20" t="n"/>
      <c r="C253" s="21" t="n"/>
      <c r="M253" s="20" t="n"/>
    </row>
    <row r="254">
      <c r="A254">
        <f>IF(G254="","",ROW()-1)</f>
        <v/>
      </c>
      <c r="B254" s="20" t="n"/>
      <c r="C254" s="21" t="n"/>
      <c r="M254" s="20" t="n"/>
    </row>
    <row r="255">
      <c r="A255">
        <f>IF(G255="","",ROW()-1)</f>
        <v/>
      </c>
      <c r="B255" s="20" t="n"/>
      <c r="C255" s="21" t="n"/>
      <c r="M255" s="20" t="n"/>
    </row>
    <row r="256">
      <c r="A256">
        <f>IF(G256="","",ROW()-1)</f>
        <v/>
      </c>
      <c r="B256" s="20" t="n"/>
      <c r="C256" s="21" t="n"/>
      <c r="M256" s="20" t="n"/>
    </row>
    <row r="257">
      <c r="A257">
        <f>IF(G257="","",ROW()-1)</f>
        <v/>
      </c>
      <c r="B257" s="20" t="n"/>
      <c r="C257" s="21" t="n"/>
      <c r="M257" s="20" t="n"/>
    </row>
    <row r="258">
      <c r="A258">
        <f>IF(G258="","",ROW()-1)</f>
        <v/>
      </c>
      <c r="B258" s="20" t="n"/>
      <c r="C258" s="21" t="n"/>
      <c r="M258" s="20" t="n"/>
    </row>
    <row r="259">
      <c r="A259">
        <f>IF(G259="","",ROW()-1)</f>
        <v/>
      </c>
      <c r="B259" s="20" t="n"/>
      <c r="C259" s="21" t="n"/>
      <c r="M259" s="20" t="n"/>
    </row>
    <row r="260">
      <c r="A260">
        <f>IF(G260="","",ROW()-1)</f>
        <v/>
      </c>
      <c r="B260" s="20" t="n"/>
      <c r="C260" s="21" t="n"/>
      <c r="M260" s="20" t="n"/>
    </row>
    <row r="261">
      <c r="A261">
        <f>IF(G261="","",ROW()-1)</f>
        <v/>
      </c>
      <c r="B261" s="20" t="n"/>
      <c r="C261" s="21" t="n"/>
      <c r="M261" s="20" t="n"/>
    </row>
    <row r="262">
      <c r="A262">
        <f>IF(G262="","",ROW()-1)</f>
        <v/>
      </c>
      <c r="B262" s="20" t="n"/>
      <c r="C262" s="21" t="n"/>
      <c r="M262" s="20" t="n"/>
    </row>
    <row r="263">
      <c r="A263">
        <f>IF(G263="","",ROW()-1)</f>
        <v/>
      </c>
      <c r="B263" s="20" t="n"/>
      <c r="C263" s="21" t="n"/>
      <c r="M263" s="20" t="n"/>
    </row>
    <row r="264">
      <c r="A264">
        <f>IF(G264="","",ROW()-1)</f>
        <v/>
      </c>
      <c r="B264" s="20" t="n"/>
      <c r="C264" s="21" t="n"/>
      <c r="M264" s="20" t="n"/>
    </row>
    <row r="265">
      <c r="A265">
        <f>IF(G265="","",ROW()-1)</f>
        <v/>
      </c>
      <c r="B265" s="20" t="n"/>
      <c r="C265" s="21" t="n"/>
      <c r="M265" s="20" t="n"/>
    </row>
    <row r="266">
      <c r="A266">
        <f>IF(G266="","",ROW()-1)</f>
        <v/>
      </c>
      <c r="B266" s="20" t="n"/>
      <c r="C266" s="21" t="n"/>
      <c r="M266" s="20" t="n"/>
    </row>
    <row r="267">
      <c r="A267">
        <f>IF(G267="","",ROW()-1)</f>
        <v/>
      </c>
      <c r="B267" s="20" t="n"/>
      <c r="C267" s="21" t="n"/>
      <c r="M267" s="20" t="n"/>
    </row>
    <row r="268">
      <c r="A268">
        <f>IF(G268="","",ROW()-1)</f>
        <v/>
      </c>
      <c r="B268" s="20" t="n"/>
      <c r="C268" s="21" t="n"/>
      <c r="M268" s="20" t="n"/>
    </row>
    <row r="269">
      <c r="A269">
        <f>IF(G269="","",ROW()-1)</f>
        <v/>
      </c>
      <c r="B269" s="20" t="n"/>
      <c r="C269" s="21" t="n"/>
      <c r="M269" s="20" t="n"/>
    </row>
    <row r="270">
      <c r="A270">
        <f>IF(G270="","",ROW()-1)</f>
        <v/>
      </c>
      <c r="B270" s="20" t="n"/>
      <c r="C270" s="21" t="n"/>
      <c r="M270" s="20" t="n"/>
    </row>
    <row r="271">
      <c r="A271">
        <f>IF(G271="","",ROW()-1)</f>
        <v/>
      </c>
      <c r="B271" s="20" t="n"/>
      <c r="C271" s="21" t="n"/>
      <c r="M271" s="20" t="n"/>
    </row>
    <row r="272">
      <c r="A272">
        <f>IF(G272="","",ROW()-1)</f>
        <v/>
      </c>
      <c r="B272" s="20" t="n"/>
      <c r="C272" s="21" t="n"/>
      <c r="M272" s="20" t="n"/>
    </row>
    <row r="273">
      <c r="A273">
        <f>IF(G273="","",ROW()-1)</f>
        <v/>
      </c>
      <c r="B273" s="20" t="n"/>
      <c r="C273" s="21" t="n"/>
      <c r="M273" s="20" t="n"/>
    </row>
    <row r="274">
      <c r="A274">
        <f>IF(G274="","",ROW()-1)</f>
        <v/>
      </c>
      <c r="B274" s="20" t="n"/>
      <c r="C274" s="21" t="n"/>
      <c r="M274" s="20" t="n"/>
    </row>
    <row r="275">
      <c r="A275">
        <f>IF(G275="","",ROW()-1)</f>
        <v/>
      </c>
      <c r="B275" s="20" t="n"/>
      <c r="C275" s="21" t="n"/>
      <c r="M275" s="20" t="n"/>
    </row>
    <row r="276">
      <c r="A276">
        <f>IF(G276="","",ROW()-1)</f>
        <v/>
      </c>
      <c r="B276" s="20" t="n"/>
      <c r="C276" s="21" t="n"/>
      <c r="M276" s="20" t="n"/>
    </row>
    <row r="277">
      <c r="A277">
        <f>IF(G277="","",ROW()-1)</f>
        <v/>
      </c>
      <c r="B277" s="20" t="n"/>
      <c r="C277" s="21" t="n"/>
      <c r="M277" s="20" t="n"/>
    </row>
    <row r="278">
      <c r="A278">
        <f>IF(G278="","",ROW()-1)</f>
        <v/>
      </c>
      <c r="B278" s="20" t="n"/>
      <c r="C278" s="21" t="n"/>
      <c r="M278" s="20" t="n"/>
    </row>
    <row r="279">
      <c r="A279">
        <f>IF(G279="","",ROW()-1)</f>
        <v/>
      </c>
      <c r="B279" s="20" t="n"/>
      <c r="C279" s="21" t="n"/>
      <c r="M279" s="20" t="n"/>
    </row>
    <row r="280">
      <c r="A280">
        <f>IF(G280="","",ROW()-1)</f>
        <v/>
      </c>
      <c r="B280" s="20" t="n"/>
      <c r="C280" s="21" t="n"/>
      <c r="M280" s="20" t="n"/>
    </row>
    <row r="281">
      <c r="A281">
        <f>IF(G281="","",ROW()-1)</f>
        <v/>
      </c>
      <c r="B281" s="20" t="n"/>
      <c r="C281" s="21" t="n"/>
      <c r="M281" s="20" t="n"/>
    </row>
    <row r="282">
      <c r="A282">
        <f>IF(G282="","",ROW()-1)</f>
        <v/>
      </c>
      <c r="B282" s="20" t="n"/>
      <c r="C282" s="21" t="n"/>
      <c r="M282" s="20" t="n"/>
    </row>
    <row r="283">
      <c r="A283">
        <f>IF(G283="","",ROW()-1)</f>
        <v/>
      </c>
      <c r="B283" s="20" t="n"/>
      <c r="C283" s="21" t="n"/>
      <c r="M283" s="20" t="n"/>
    </row>
    <row r="284">
      <c r="A284">
        <f>IF(G284="","",ROW()-1)</f>
        <v/>
      </c>
      <c r="B284" s="20" t="n"/>
      <c r="C284" s="21" t="n"/>
      <c r="M284" s="20" t="n"/>
    </row>
    <row r="285">
      <c r="A285">
        <f>IF(G285="","",ROW()-1)</f>
        <v/>
      </c>
      <c r="B285" s="20" t="n"/>
      <c r="C285" s="21" t="n"/>
      <c r="M285" s="20" t="n"/>
    </row>
    <row r="286">
      <c r="A286">
        <f>IF(G286="","",ROW()-1)</f>
        <v/>
      </c>
      <c r="B286" s="20" t="n"/>
      <c r="C286" s="21" t="n"/>
      <c r="M286" s="20" t="n"/>
    </row>
    <row r="287">
      <c r="A287">
        <f>IF(G287="","",ROW()-1)</f>
        <v/>
      </c>
      <c r="B287" s="20" t="n"/>
      <c r="C287" s="21" t="n"/>
      <c r="M287" s="20" t="n"/>
    </row>
    <row r="288">
      <c r="A288">
        <f>IF(G288="","",ROW()-1)</f>
        <v/>
      </c>
      <c r="B288" s="20" t="n"/>
      <c r="C288" s="21" t="n"/>
      <c r="M288" s="20" t="n"/>
    </row>
    <row r="289">
      <c r="A289">
        <f>IF(G289="","",ROW()-1)</f>
        <v/>
      </c>
      <c r="B289" s="20" t="n"/>
      <c r="C289" s="21" t="n"/>
      <c r="M289" s="20" t="n"/>
    </row>
    <row r="290">
      <c r="A290">
        <f>IF(G290="","",ROW()-1)</f>
        <v/>
      </c>
      <c r="B290" s="20" t="n"/>
      <c r="C290" s="21" t="n"/>
      <c r="M290" s="20" t="n"/>
    </row>
    <row r="291">
      <c r="A291">
        <f>IF(G291="","",ROW()-1)</f>
        <v/>
      </c>
      <c r="B291" s="20" t="n"/>
      <c r="C291" s="21" t="n"/>
      <c r="M291" s="20" t="n"/>
    </row>
    <row r="292">
      <c r="A292">
        <f>IF(G292="","",ROW()-1)</f>
        <v/>
      </c>
      <c r="B292" s="20" t="n"/>
      <c r="C292" s="21" t="n"/>
      <c r="M292" s="20" t="n"/>
    </row>
    <row r="293">
      <c r="A293">
        <f>IF(G293="","",ROW()-1)</f>
        <v/>
      </c>
      <c r="B293" s="20" t="n"/>
      <c r="C293" s="21" t="n"/>
      <c r="M293" s="20" t="n"/>
    </row>
    <row r="294">
      <c r="A294">
        <f>IF(G294="","",ROW()-1)</f>
        <v/>
      </c>
      <c r="B294" s="20" t="n"/>
      <c r="C294" s="21" t="n"/>
      <c r="M294" s="20" t="n"/>
    </row>
    <row r="295">
      <c r="A295">
        <f>IF(G295="","",ROW()-1)</f>
        <v/>
      </c>
      <c r="B295" s="20" t="n"/>
      <c r="C295" s="21" t="n"/>
      <c r="M295" s="20" t="n"/>
    </row>
    <row r="296">
      <c r="A296">
        <f>IF(G296="","",ROW()-1)</f>
        <v/>
      </c>
      <c r="B296" s="20" t="n"/>
      <c r="C296" s="21" t="n"/>
      <c r="M296" s="20" t="n"/>
    </row>
    <row r="297">
      <c r="A297">
        <f>IF(G297="","",ROW()-1)</f>
        <v/>
      </c>
      <c r="B297" s="20" t="n"/>
      <c r="C297" s="21" t="n"/>
      <c r="M297" s="20" t="n"/>
    </row>
    <row r="298">
      <c r="A298">
        <f>IF(G298="","",ROW()-1)</f>
        <v/>
      </c>
      <c r="B298" s="20" t="n"/>
      <c r="C298" s="21" t="n"/>
      <c r="M298" s="20" t="n"/>
    </row>
    <row r="299">
      <c r="A299">
        <f>IF(G299="","",ROW()-1)</f>
        <v/>
      </c>
      <c r="B299" s="20" t="n"/>
      <c r="C299" s="21" t="n"/>
      <c r="M299" s="20" t="n"/>
    </row>
    <row r="300">
      <c r="A300">
        <f>IF(G300="","",ROW()-1)</f>
        <v/>
      </c>
      <c r="B300" s="20" t="n"/>
      <c r="C300" s="21" t="n"/>
      <c r="M300" s="20" t="n"/>
    </row>
    <row r="301">
      <c r="A301">
        <f>IF(G301="","",ROW()-1)</f>
        <v/>
      </c>
      <c r="B301" s="20" t="n"/>
      <c r="C301" s="21" t="n"/>
      <c r="M301" s="20" t="n"/>
    </row>
    <row r="302">
      <c r="A302">
        <f>IF(G302="","",ROW()-1)</f>
        <v/>
      </c>
      <c r="B302" s="20" t="n"/>
      <c r="C302" s="21" t="n"/>
      <c r="M302" s="20" t="n"/>
    </row>
    <row r="303">
      <c r="A303">
        <f>IF(G303="","",ROW()-1)</f>
        <v/>
      </c>
      <c r="B303" s="20" t="n"/>
      <c r="C303" s="21" t="n"/>
      <c r="M303" s="20" t="n"/>
    </row>
    <row r="304">
      <c r="A304">
        <f>IF(G304="","",ROW()-1)</f>
        <v/>
      </c>
      <c r="B304" s="20" t="n"/>
      <c r="C304" s="21" t="n"/>
      <c r="M304" s="20" t="n"/>
    </row>
    <row r="305">
      <c r="A305">
        <f>IF(G305="","",ROW()-1)</f>
        <v/>
      </c>
      <c r="B305" s="20" t="n"/>
      <c r="C305" s="21" t="n"/>
      <c r="M305" s="20" t="n"/>
    </row>
    <row r="306">
      <c r="A306">
        <f>IF(G306="","",ROW()-1)</f>
        <v/>
      </c>
      <c r="B306" s="20" t="n"/>
      <c r="C306" s="21" t="n"/>
      <c r="M306" s="20" t="n"/>
    </row>
    <row r="307">
      <c r="A307">
        <f>IF(G307="","",ROW()-1)</f>
        <v/>
      </c>
      <c r="B307" s="20" t="n"/>
      <c r="C307" s="21" t="n"/>
      <c r="M307" s="20" t="n"/>
    </row>
    <row r="308">
      <c r="A308">
        <f>IF(G308="","",ROW()-1)</f>
        <v/>
      </c>
      <c r="B308" s="20" t="n"/>
      <c r="C308" s="21" t="n"/>
      <c r="M308" s="20" t="n"/>
    </row>
    <row r="309">
      <c r="A309">
        <f>IF(G309="","",ROW()-1)</f>
        <v/>
      </c>
      <c r="B309" s="20" t="n"/>
      <c r="C309" s="21" t="n"/>
      <c r="M309" s="20" t="n"/>
    </row>
    <row r="310">
      <c r="A310">
        <f>IF(G310="","",ROW()-1)</f>
        <v/>
      </c>
      <c r="B310" s="20" t="n"/>
      <c r="C310" s="21" t="n"/>
      <c r="M310" s="20" t="n"/>
    </row>
    <row r="311">
      <c r="A311">
        <f>IF(G311="","",ROW()-1)</f>
        <v/>
      </c>
      <c r="B311" s="20" t="n"/>
      <c r="C311" s="21" t="n"/>
      <c r="M311" s="20" t="n"/>
    </row>
    <row r="312">
      <c r="A312">
        <f>IF(G312="","",ROW()-1)</f>
        <v/>
      </c>
      <c r="B312" s="20" t="n"/>
      <c r="C312" s="21" t="n"/>
      <c r="M312" s="20" t="n"/>
    </row>
    <row r="313">
      <c r="A313">
        <f>IF(G313="","",ROW()-1)</f>
        <v/>
      </c>
      <c r="B313" s="20" t="n"/>
      <c r="C313" s="21" t="n"/>
      <c r="M313" s="20" t="n"/>
    </row>
    <row r="314">
      <c r="A314">
        <f>IF(G314="","",ROW()-1)</f>
        <v/>
      </c>
      <c r="B314" s="20" t="n"/>
      <c r="C314" s="21" t="n"/>
      <c r="M314" s="20" t="n"/>
    </row>
    <row r="315">
      <c r="A315">
        <f>IF(G315="","",ROW()-1)</f>
        <v/>
      </c>
      <c r="B315" s="20" t="n"/>
      <c r="C315" s="21" t="n"/>
      <c r="M315" s="20" t="n"/>
    </row>
    <row r="316">
      <c r="A316">
        <f>IF(G316="","",ROW()-1)</f>
        <v/>
      </c>
      <c r="B316" s="20" t="n"/>
      <c r="C316" s="21" t="n"/>
      <c r="M316" s="20" t="n"/>
    </row>
    <row r="317">
      <c r="A317">
        <f>IF(G317="","",ROW()-1)</f>
        <v/>
      </c>
      <c r="B317" s="20" t="n"/>
      <c r="C317" s="21" t="n"/>
      <c r="M317" s="20" t="n"/>
    </row>
    <row r="318">
      <c r="A318">
        <f>IF(G318="","",ROW()-1)</f>
        <v/>
      </c>
      <c r="B318" s="20" t="n"/>
      <c r="C318" s="21" t="n"/>
      <c r="M318" s="20" t="n"/>
    </row>
    <row r="319">
      <c r="A319">
        <f>IF(G319="","",ROW()-1)</f>
        <v/>
      </c>
      <c r="B319" s="20" t="n"/>
      <c r="C319" s="21" t="n"/>
      <c r="M319" s="20" t="n"/>
    </row>
    <row r="320">
      <c r="A320">
        <f>IF(G320="","",ROW()-1)</f>
        <v/>
      </c>
      <c r="B320" s="20" t="n"/>
      <c r="C320" s="21" t="n"/>
      <c r="M320" s="20" t="n"/>
    </row>
    <row r="321">
      <c r="A321">
        <f>IF(G321="","",ROW()-1)</f>
        <v/>
      </c>
      <c r="B321" s="20" t="n"/>
      <c r="C321" s="21" t="n"/>
      <c r="M321" s="20" t="n"/>
    </row>
    <row r="322">
      <c r="A322">
        <f>IF(G322="","",ROW()-1)</f>
        <v/>
      </c>
      <c r="B322" s="20" t="n"/>
      <c r="C322" s="21" t="n"/>
      <c r="M322" s="20" t="n"/>
    </row>
    <row r="323">
      <c r="A323">
        <f>IF(G323="","",ROW()-1)</f>
        <v/>
      </c>
      <c r="B323" s="20" t="n"/>
      <c r="C323" s="21" t="n"/>
      <c r="M323" s="20" t="n"/>
    </row>
    <row r="324">
      <c r="A324">
        <f>IF(G324="","",ROW()-1)</f>
        <v/>
      </c>
      <c r="B324" s="20" t="n"/>
      <c r="C324" s="21" t="n"/>
      <c r="M324" s="20" t="n"/>
    </row>
    <row r="325">
      <c r="A325">
        <f>IF(G325="","",ROW()-1)</f>
        <v/>
      </c>
      <c r="B325" s="20" t="n"/>
      <c r="C325" s="21" t="n"/>
      <c r="M325" s="20" t="n"/>
    </row>
    <row r="326">
      <c r="A326">
        <f>IF(G326="","",ROW()-1)</f>
        <v/>
      </c>
      <c r="B326" s="20" t="n"/>
      <c r="C326" s="21" t="n"/>
      <c r="M326" s="20" t="n"/>
    </row>
    <row r="327">
      <c r="A327">
        <f>IF(G327="","",ROW()-1)</f>
        <v/>
      </c>
      <c r="B327" s="20" t="n"/>
      <c r="C327" s="21" t="n"/>
      <c r="M327" s="20" t="n"/>
    </row>
    <row r="328">
      <c r="A328">
        <f>IF(G328="","",ROW()-1)</f>
        <v/>
      </c>
      <c r="B328" s="20" t="n"/>
      <c r="C328" s="21" t="n"/>
      <c r="M328" s="20" t="n"/>
    </row>
    <row r="329">
      <c r="A329">
        <f>IF(G329="","",ROW()-1)</f>
        <v/>
      </c>
      <c r="B329" s="20" t="n"/>
      <c r="C329" s="21" t="n"/>
      <c r="M329" s="20" t="n"/>
    </row>
    <row r="330">
      <c r="A330">
        <f>IF(G330="","",ROW()-1)</f>
        <v/>
      </c>
      <c r="B330" s="20" t="n"/>
      <c r="C330" s="21" t="n"/>
      <c r="M330" s="20" t="n"/>
    </row>
    <row r="331">
      <c r="A331">
        <f>IF(G331="","",ROW()-1)</f>
        <v/>
      </c>
      <c r="B331" s="20" t="n"/>
      <c r="C331" s="21" t="n"/>
      <c r="M331" s="20" t="n"/>
    </row>
    <row r="332">
      <c r="A332">
        <f>IF(G332="","",ROW()-1)</f>
        <v/>
      </c>
      <c r="B332" s="20" t="n"/>
      <c r="C332" s="21" t="n"/>
      <c r="M332" s="20" t="n"/>
    </row>
    <row r="333">
      <c r="A333">
        <f>IF(G333="","",ROW()-1)</f>
        <v/>
      </c>
      <c r="B333" s="20" t="n"/>
      <c r="C333" s="21" t="n"/>
      <c r="M333" s="20" t="n"/>
    </row>
    <row r="334">
      <c r="A334">
        <f>IF(G334="","",ROW()-1)</f>
        <v/>
      </c>
      <c r="B334" s="20" t="n"/>
      <c r="C334" s="21" t="n"/>
      <c r="M334" s="20" t="n"/>
    </row>
    <row r="335">
      <c r="A335">
        <f>IF(G335="","",ROW()-1)</f>
        <v/>
      </c>
      <c r="B335" s="20" t="n"/>
      <c r="C335" s="21" t="n"/>
      <c r="M335" s="20" t="n"/>
    </row>
    <row r="336">
      <c r="A336">
        <f>IF(G336="","",ROW()-1)</f>
        <v/>
      </c>
      <c r="B336" s="20" t="n"/>
      <c r="C336" s="21" t="n"/>
      <c r="M336" s="20" t="n"/>
    </row>
    <row r="337">
      <c r="A337">
        <f>IF(G337="","",ROW()-1)</f>
        <v/>
      </c>
      <c r="B337" s="20" t="n"/>
      <c r="C337" s="21" t="n"/>
      <c r="M337" s="20" t="n"/>
    </row>
    <row r="338">
      <c r="A338">
        <f>IF(G338="","",ROW()-1)</f>
        <v/>
      </c>
      <c r="B338" s="20" t="n"/>
      <c r="C338" s="21" t="n"/>
      <c r="M338" s="20" t="n"/>
    </row>
    <row r="339">
      <c r="A339">
        <f>IF(G339="","",ROW()-1)</f>
        <v/>
      </c>
      <c r="B339" s="20" t="n"/>
      <c r="C339" s="21" t="n"/>
      <c r="M339" s="20" t="n"/>
    </row>
    <row r="340">
      <c r="A340">
        <f>IF(G340="","",ROW()-1)</f>
        <v/>
      </c>
      <c r="B340" s="20" t="n"/>
      <c r="C340" s="21" t="n"/>
      <c r="M340" s="20" t="n"/>
    </row>
    <row r="341">
      <c r="A341">
        <f>IF(G341="","",ROW()-1)</f>
        <v/>
      </c>
      <c r="B341" s="20" t="n"/>
      <c r="C341" s="21" t="n"/>
      <c r="M341" s="20" t="n"/>
    </row>
    <row r="342">
      <c r="A342">
        <f>IF(G342="","",ROW()-1)</f>
        <v/>
      </c>
      <c r="B342" s="20" t="n"/>
      <c r="C342" s="21" t="n"/>
      <c r="M342" s="20" t="n"/>
    </row>
    <row r="343">
      <c r="A343">
        <f>IF(G343="","",ROW()-1)</f>
        <v/>
      </c>
      <c r="B343" s="20" t="n"/>
      <c r="C343" s="21" t="n"/>
      <c r="M343" s="20" t="n"/>
    </row>
    <row r="344">
      <c r="A344">
        <f>IF(G344="","",ROW()-1)</f>
        <v/>
      </c>
      <c r="B344" s="20" t="n"/>
      <c r="C344" s="21" t="n"/>
      <c r="M344" s="20" t="n"/>
    </row>
    <row r="345">
      <c r="A345">
        <f>IF(G345="","",ROW()-1)</f>
        <v/>
      </c>
      <c r="B345" s="20" t="n"/>
      <c r="C345" s="21" t="n"/>
      <c r="M345" s="20" t="n"/>
    </row>
    <row r="346">
      <c r="A346">
        <f>IF(G346="","",ROW()-1)</f>
        <v/>
      </c>
      <c r="B346" s="20" t="n"/>
      <c r="C346" s="21" t="n"/>
      <c r="M346" s="20" t="n"/>
    </row>
    <row r="347">
      <c r="A347">
        <f>IF(G347="","",ROW()-1)</f>
        <v/>
      </c>
      <c r="B347" s="20" t="n"/>
      <c r="C347" s="21" t="n"/>
      <c r="M347" s="20" t="n"/>
    </row>
    <row r="348">
      <c r="A348">
        <f>IF(G348="","",ROW()-1)</f>
        <v/>
      </c>
      <c r="B348" s="20" t="n"/>
      <c r="C348" s="21" t="n"/>
      <c r="M348" s="20" t="n"/>
    </row>
    <row r="349">
      <c r="A349">
        <f>IF(G349="","",ROW()-1)</f>
        <v/>
      </c>
      <c r="B349" s="20" t="n"/>
      <c r="C349" s="21" t="n"/>
      <c r="M349" s="20" t="n"/>
    </row>
    <row r="350">
      <c r="A350">
        <f>IF(G350="","",ROW()-1)</f>
        <v/>
      </c>
      <c r="B350" s="20" t="n"/>
      <c r="C350" s="21" t="n"/>
      <c r="M350" s="20" t="n"/>
    </row>
    <row r="351">
      <c r="A351">
        <f>IF(G351="","",ROW()-1)</f>
        <v/>
      </c>
      <c r="B351" s="20" t="n"/>
      <c r="C351" s="21" t="n"/>
      <c r="M351" s="20" t="n"/>
    </row>
    <row r="352">
      <c r="A352">
        <f>IF(G352="","",ROW()-1)</f>
        <v/>
      </c>
      <c r="B352" s="20" t="n"/>
      <c r="C352" s="21" t="n"/>
      <c r="M352" s="20" t="n"/>
    </row>
    <row r="353">
      <c r="A353">
        <f>IF(G353="","",ROW()-1)</f>
        <v/>
      </c>
      <c r="B353" s="20" t="n"/>
      <c r="C353" s="21" t="n"/>
      <c r="M353" s="20" t="n"/>
    </row>
    <row r="354">
      <c r="A354">
        <f>IF(G354="","",ROW()-1)</f>
        <v/>
      </c>
      <c r="B354" s="20" t="n"/>
      <c r="C354" s="21" t="n"/>
      <c r="M354" s="20" t="n"/>
    </row>
    <row r="355">
      <c r="A355">
        <f>IF(G355="","",ROW()-1)</f>
        <v/>
      </c>
      <c r="B355" s="20" t="n"/>
      <c r="C355" s="21" t="n"/>
      <c r="M355" s="20" t="n"/>
    </row>
    <row r="356">
      <c r="A356">
        <f>IF(G356="","",ROW()-1)</f>
        <v/>
      </c>
      <c r="B356" s="20" t="n"/>
      <c r="C356" s="21" t="n"/>
      <c r="M356" s="20" t="n"/>
    </row>
    <row r="357">
      <c r="A357">
        <f>IF(G357="","",ROW()-1)</f>
        <v/>
      </c>
      <c r="B357" s="20" t="n"/>
      <c r="C357" s="21" t="n"/>
      <c r="M357" s="20" t="n"/>
    </row>
    <row r="358">
      <c r="A358">
        <f>IF(G358="","",ROW()-1)</f>
        <v/>
      </c>
      <c r="B358" s="20" t="n"/>
      <c r="C358" s="21" t="n"/>
      <c r="M358" s="20" t="n"/>
    </row>
    <row r="359">
      <c r="A359">
        <f>IF(G359="","",ROW()-1)</f>
        <v/>
      </c>
      <c r="B359" s="20" t="n"/>
      <c r="C359" s="21" t="n"/>
      <c r="M359" s="20" t="n"/>
    </row>
    <row r="360">
      <c r="A360">
        <f>IF(G360="","",ROW()-1)</f>
        <v/>
      </c>
      <c r="B360" s="20" t="n"/>
      <c r="C360" s="21" t="n"/>
      <c r="M360" s="20" t="n"/>
    </row>
    <row r="361">
      <c r="A361">
        <f>IF(G361="","",ROW()-1)</f>
        <v/>
      </c>
      <c r="B361" s="20" t="n"/>
      <c r="C361" s="21" t="n"/>
      <c r="M361" s="20" t="n"/>
    </row>
    <row r="362">
      <c r="A362">
        <f>IF(G362="","",ROW()-1)</f>
        <v/>
      </c>
      <c r="B362" s="20" t="n"/>
      <c r="C362" s="21" t="n"/>
      <c r="M362" s="20" t="n"/>
    </row>
    <row r="363">
      <c r="A363">
        <f>IF(G363="","",ROW()-1)</f>
        <v/>
      </c>
      <c r="B363" s="20" t="n"/>
      <c r="C363" s="21" t="n"/>
      <c r="M363" s="20" t="n"/>
    </row>
    <row r="364">
      <c r="A364">
        <f>IF(G364="","",ROW()-1)</f>
        <v/>
      </c>
      <c r="B364" s="20" t="n"/>
      <c r="C364" s="21" t="n"/>
      <c r="M364" s="20" t="n"/>
    </row>
    <row r="365">
      <c r="A365">
        <f>IF(G365="","",ROW()-1)</f>
        <v/>
      </c>
      <c r="B365" s="20" t="n"/>
      <c r="C365" s="21" t="n"/>
      <c r="M365" s="20" t="n"/>
    </row>
    <row r="366">
      <c r="A366">
        <f>IF(G366="","",ROW()-1)</f>
        <v/>
      </c>
      <c r="B366" s="20" t="n"/>
      <c r="C366" s="21" t="n"/>
      <c r="M366" s="20" t="n"/>
    </row>
    <row r="367">
      <c r="A367">
        <f>IF(G367="","",ROW()-1)</f>
        <v/>
      </c>
      <c r="B367" s="20" t="n"/>
      <c r="C367" s="21" t="n"/>
      <c r="M367" s="20" t="n"/>
    </row>
    <row r="368">
      <c r="A368">
        <f>IF(G368="","",ROW()-1)</f>
        <v/>
      </c>
      <c r="B368" s="20" t="n"/>
      <c r="C368" s="21" t="n"/>
      <c r="M368" s="20" t="n"/>
    </row>
    <row r="369">
      <c r="A369">
        <f>IF(G369="","",ROW()-1)</f>
        <v/>
      </c>
      <c r="B369" s="20" t="n"/>
      <c r="C369" s="21" t="n"/>
      <c r="M369" s="20" t="n"/>
    </row>
    <row r="370">
      <c r="A370">
        <f>IF(G370="","",ROW()-1)</f>
        <v/>
      </c>
      <c r="B370" s="20" t="n"/>
      <c r="C370" s="21" t="n"/>
      <c r="M370" s="20" t="n"/>
    </row>
    <row r="371">
      <c r="A371">
        <f>IF(G371="","",ROW()-1)</f>
        <v/>
      </c>
      <c r="B371" s="20" t="n"/>
      <c r="C371" s="21" t="n"/>
      <c r="M371" s="20" t="n"/>
    </row>
    <row r="372">
      <c r="A372">
        <f>IF(G372="","",ROW()-1)</f>
        <v/>
      </c>
      <c r="B372" s="20" t="n"/>
      <c r="C372" s="21" t="n"/>
      <c r="M372" s="20" t="n"/>
    </row>
    <row r="373">
      <c r="A373">
        <f>IF(G373="","",ROW()-1)</f>
        <v/>
      </c>
      <c r="B373" s="20" t="n"/>
      <c r="C373" s="21" t="n"/>
      <c r="M373" s="20" t="n"/>
    </row>
    <row r="374">
      <c r="A374">
        <f>IF(G374="","",ROW()-1)</f>
        <v/>
      </c>
      <c r="B374" s="20" t="n"/>
      <c r="C374" s="21" t="n"/>
      <c r="M374" s="20" t="n"/>
    </row>
    <row r="375">
      <c r="A375">
        <f>IF(G375="","",ROW()-1)</f>
        <v/>
      </c>
      <c r="B375" s="20" t="n"/>
      <c r="C375" s="21" t="n"/>
      <c r="M375" s="20" t="n"/>
    </row>
    <row r="376">
      <c r="A376">
        <f>IF(G376="","",ROW()-1)</f>
        <v/>
      </c>
      <c r="B376" s="20" t="n"/>
      <c r="C376" s="21" t="n"/>
      <c r="M376" s="20" t="n"/>
    </row>
    <row r="377">
      <c r="A377">
        <f>IF(G377="","",ROW()-1)</f>
        <v/>
      </c>
      <c r="B377" s="20" t="n"/>
      <c r="C377" s="21" t="n"/>
      <c r="M377" s="20" t="n"/>
    </row>
    <row r="378">
      <c r="A378">
        <f>IF(G378="","",ROW()-1)</f>
        <v/>
      </c>
      <c r="B378" s="20" t="n"/>
      <c r="C378" s="21" t="n"/>
      <c r="M378" s="20" t="n"/>
    </row>
    <row r="379">
      <c r="A379">
        <f>IF(G379="","",ROW()-1)</f>
        <v/>
      </c>
      <c r="B379" s="20" t="n"/>
      <c r="C379" s="21" t="n"/>
      <c r="M379" s="20" t="n"/>
    </row>
    <row r="380">
      <c r="A380">
        <f>IF(G380="","",ROW()-1)</f>
        <v/>
      </c>
      <c r="B380" s="20" t="n"/>
      <c r="C380" s="21" t="n"/>
      <c r="M380" s="20" t="n"/>
    </row>
    <row r="381">
      <c r="A381">
        <f>IF(G381="","",ROW()-1)</f>
        <v/>
      </c>
      <c r="B381" s="20" t="n"/>
      <c r="C381" s="21" t="n"/>
      <c r="M381" s="20" t="n"/>
    </row>
    <row r="382">
      <c r="A382">
        <f>IF(G382="","",ROW()-1)</f>
        <v/>
      </c>
      <c r="B382" s="20" t="n"/>
      <c r="C382" s="21" t="n"/>
      <c r="M382" s="20" t="n"/>
    </row>
    <row r="383">
      <c r="A383">
        <f>IF(G383="","",ROW()-1)</f>
        <v/>
      </c>
      <c r="B383" s="20" t="n"/>
      <c r="C383" s="21" t="n"/>
      <c r="M383" s="20" t="n"/>
    </row>
    <row r="384">
      <c r="A384">
        <f>IF(G384="","",ROW()-1)</f>
        <v/>
      </c>
      <c r="B384" s="20" t="n"/>
      <c r="C384" s="21" t="n"/>
      <c r="M384" s="20" t="n"/>
    </row>
    <row r="385">
      <c r="A385">
        <f>IF(G385="","",ROW()-1)</f>
        <v/>
      </c>
      <c r="B385" s="20" t="n"/>
      <c r="C385" s="21" t="n"/>
      <c r="M385" s="20" t="n"/>
    </row>
    <row r="386">
      <c r="A386">
        <f>IF(G386="","",ROW()-1)</f>
        <v/>
      </c>
      <c r="B386" s="20" t="n"/>
      <c r="C386" s="21" t="n"/>
      <c r="M386" s="20" t="n"/>
    </row>
    <row r="387">
      <c r="A387">
        <f>IF(G387="","",ROW()-1)</f>
        <v/>
      </c>
      <c r="B387" s="20" t="n"/>
      <c r="C387" s="21" t="n"/>
      <c r="M387" s="20" t="n"/>
    </row>
    <row r="388">
      <c r="A388">
        <f>IF(G388="","",ROW()-1)</f>
        <v/>
      </c>
      <c r="B388" s="20" t="n"/>
      <c r="C388" s="21" t="n"/>
      <c r="M388" s="20" t="n"/>
    </row>
    <row r="389">
      <c r="A389">
        <f>IF(G389="","",ROW()-1)</f>
        <v/>
      </c>
      <c r="B389" s="20" t="n"/>
      <c r="C389" s="21" t="n"/>
      <c r="M389" s="20" t="n"/>
    </row>
    <row r="390">
      <c r="A390">
        <f>IF(G390="","",ROW()-1)</f>
        <v/>
      </c>
      <c r="B390" s="20" t="n"/>
      <c r="C390" s="21" t="n"/>
      <c r="M390" s="20" t="n"/>
    </row>
    <row r="391">
      <c r="A391">
        <f>IF(G391="","",ROW()-1)</f>
        <v/>
      </c>
      <c r="B391" s="20" t="n"/>
      <c r="C391" s="21" t="n"/>
      <c r="M391" s="20" t="n"/>
    </row>
    <row r="392">
      <c r="A392">
        <f>IF(G392="","",ROW()-1)</f>
        <v/>
      </c>
      <c r="B392" s="20" t="n"/>
      <c r="C392" s="21" t="n"/>
      <c r="M392" s="20" t="n"/>
    </row>
    <row r="393">
      <c r="A393">
        <f>IF(G393="","",ROW()-1)</f>
        <v/>
      </c>
      <c r="B393" s="20" t="n"/>
      <c r="C393" s="21" t="n"/>
      <c r="M393" s="20" t="n"/>
    </row>
    <row r="394">
      <c r="A394">
        <f>IF(G394="","",ROW()-1)</f>
        <v/>
      </c>
      <c r="B394" s="20" t="n"/>
      <c r="C394" s="21" t="n"/>
      <c r="M394" s="20" t="n"/>
    </row>
    <row r="395">
      <c r="A395">
        <f>IF(G395="","",ROW()-1)</f>
        <v/>
      </c>
      <c r="B395" s="20" t="n"/>
      <c r="C395" s="21" t="n"/>
      <c r="M395" s="20" t="n"/>
    </row>
    <row r="396">
      <c r="A396">
        <f>IF(G396="","",ROW()-1)</f>
        <v/>
      </c>
      <c r="B396" s="20" t="n"/>
      <c r="C396" s="21" t="n"/>
      <c r="M396" s="20" t="n"/>
    </row>
    <row r="397">
      <c r="A397">
        <f>IF(G397="","",ROW()-1)</f>
        <v/>
      </c>
      <c r="B397" s="20" t="n"/>
      <c r="C397" s="21" t="n"/>
      <c r="M397" s="20" t="n"/>
    </row>
    <row r="398">
      <c r="A398">
        <f>IF(G398="","",ROW()-1)</f>
        <v/>
      </c>
      <c r="B398" s="20" t="n"/>
      <c r="C398" s="21" t="n"/>
      <c r="M398" s="20" t="n"/>
    </row>
    <row r="399">
      <c r="A399">
        <f>IF(G399="","",ROW()-1)</f>
        <v/>
      </c>
      <c r="B399" s="20" t="n"/>
      <c r="C399" s="21" t="n"/>
      <c r="M399" s="20" t="n"/>
    </row>
    <row r="400">
      <c r="A400">
        <f>IF(G400="","",ROW()-1)</f>
        <v/>
      </c>
      <c r="B400" s="20" t="n"/>
      <c r="C400" s="21" t="n"/>
      <c r="M400" s="20" t="n"/>
    </row>
    <row r="401">
      <c r="A401">
        <f>IF(G401="","",ROW()-1)</f>
        <v/>
      </c>
      <c r="B401" s="20" t="n"/>
      <c r="C401" s="21" t="n"/>
      <c r="M401" s="20" t="n"/>
    </row>
    <row r="402">
      <c r="A402">
        <f>IF(G402="","",ROW()-1)</f>
        <v/>
      </c>
      <c r="B402" s="20" t="n"/>
      <c r="C402" s="21" t="n"/>
      <c r="M402" s="20" t="n"/>
    </row>
    <row r="403">
      <c r="A403">
        <f>IF(G403="","",ROW()-1)</f>
        <v/>
      </c>
      <c r="B403" s="20" t="n"/>
      <c r="C403" s="21" t="n"/>
      <c r="M403" s="20" t="n"/>
    </row>
    <row r="404">
      <c r="A404">
        <f>IF(G404="","",ROW()-1)</f>
        <v/>
      </c>
      <c r="B404" s="20" t="n"/>
      <c r="C404" s="21" t="n"/>
      <c r="M404" s="20" t="n"/>
    </row>
    <row r="405">
      <c r="A405">
        <f>IF(G405="","",ROW()-1)</f>
        <v/>
      </c>
      <c r="B405" s="20" t="n"/>
      <c r="C405" s="21" t="n"/>
      <c r="M405" s="20" t="n"/>
    </row>
    <row r="406">
      <c r="A406">
        <f>IF(G406="","",ROW()-1)</f>
        <v/>
      </c>
      <c r="B406" s="20" t="n"/>
      <c r="C406" s="21" t="n"/>
      <c r="M406" s="20" t="n"/>
    </row>
    <row r="407">
      <c r="A407">
        <f>IF(G407="","",ROW()-1)</f>
        <v/>
      </c>
      <c r="B407" s="20" t="n"/>
      <c r="C407" s="21" t="n"/>
      <c r="M407" s="20" t="n"/>
    </row>
    <row r="408">
      <c r="A408">
        <f>IF(G408="","",ROW()-1)</f>
        <v/>
      </c>
      <c r="B408" s="20" t="n"/>
      <c r="C408" s="21" t="n"/>
      <c r="M408" s="20" t="n"/>
    </row>
    <row r="409">
      <c r="A409">
        <f>IF(G409="","",ROW()-1)</f>
        <v/>
      </c>
      <c r="B409" s="20" t="n"/>
      <c r="C409" s="21" t="n"/>
      <c r="M409" s="20" t="n"/>
    </row>
    <row r="410">
      <c r="A410">
        <f>IF(G410="","",ROW()-1)</f>
        <v/>
      </c>
      <c r="B410" s="20" t="n"/>
      <c r="C410" s="21" t="n"/>
      <c r="M410" s="20" t="n"/>
    </row>
    <row r="411">
      <c r="A411">
        <f>IF(G411="","",ROW()-1)</f>
        <v/>
      </c>
      <c r="B411" s="20" t="n"/>
      <c r="C411" s="21" t="n"/>
      <c r="M411" s="20" t="n"/>
    </row>
    <row r="412">
      <c r="A412">
        <f>IF(G412="","",ROW()-1)</f>
        <v/>
      </c>
      <c r="B412" s="20" t="n"/>
      <c r="C412" s="21" t="n"/>
      <c r="M412" s="20" t="n"/>
    </row>
    <row r="413">
      <c r="A413">
        <f>IF(G413="","",ROW()-1)</f>
        <v/>
      </c>
      <c r="B413" s="20" t="n"/>
      <c r="C413" s="21" t="n"/>
      <c r="M413" s="20" t="n"/>
    </row>
    <row r="414">
      <c r="A414">
        <f>IF(G414="","",ROW()-1)</f>
        <v/>
      </c>
      <c r="B414" s="20" t="n"/>
      <c r="C414" s="21" t="n"/>
      <c r="M414" s="20" t="n"/>
    </row>
    <row r="415">
      <c r="A415">
        <f>IF(G415="","",ROW()-1)</f>
        <v/>
      </c>
      <c r="B415" s="20" t="n"/>
      <c r="C415" s="21" t="n"/>
      <c r="M415" s="20" t="n"/>
    </row>
    <row r="416">
      <c r="A416">
        <f>IF(G416="","",ROW()-1)</f>
        <v/>
      </c>
      <c r="B416" s="20" t="n"/>
      <c r="C416" s="21" t="n"/>
      <c r="M416" s="20" t="n"/>
    </row>
    <row r="417">
      <c r="A417">
        <f>IF(G417="","",ROW()-1)</f>
        <v/>
      </c>
      <c r="B417" s="20" t="n"/>
      <c r="C417" s="21" t="n"/>
      <c r="M417" s="20" t="n"/>
    </row>
    <row r="418">
      <c r="A418">
        <f>IF(G418="","",ROW()-1)</f>
        <v/>
      </c>
      <c r="B418" s="20" t="n"/>
      <c r="C418" s="21" t="n"/>
      <c r="M418" s="20" t="n"/>
    </row>
    <row r="419">
      <c r="A419">
        <f>IF(G419="","",ROW()-1)</f>
        <v/>
      </c>
      <c r="B419" s="20" t="n"/>
      <c r="C419" s="21" t="n"/>
      <c r="M419" s="20" t="n"/>
    </row>
    <row r="420">
      <c r="A420">
        <f>IF(G420="","",ROW()-1)</f>
        <v/>
      </c>
      <c r="B420" s="20" t="n"/>
      <c r="C420" s="21" t="n"/>
      <c r="M420" s="20" t="n"/>
    </row>
    <row r="421">
      <c r="A421">
        <f>IF(G421="","",ROW()-1)</f>
        <v/>
      </c>
      <c r="B421" s="20" t="n"/>
      <c r="C421" s="21" t="n"/>
      <c r="M421" s="20" t="n"/>
    </row>
    <row r="422">
      <c r="A422">
        <f>IF(G422="","",ROW()-1)</f>
        <v/>
      </c>
      <c r="B422" s="20" t="n"/>
      <c r="C422" s="21" t="n"/>
      <c r="M422" s="20" t="n"/>
    </row>
    <row r="423">
      <c r="A423">
        <f>IF(G423="","",ROW()-1)</f>
        <v/>
      </c>
      <c r="B423" s="20" t="n"/>
      <c r="C423" s="21" t="n"/>
      <c r="M423" s="20" t="n"/>
    </row>
    <row r="424">
      <c r="A424">
        <f>IF(G424="","",ROW()-1)</f>
        <v/>
      </c>
      <c r="B424" s="20" t="n"/>
      <c r="C424" s="21" t="n"/>
      <c r="M424" s="20" t="n"/>
    </row>
    <row r="425">
      <c r="A425">
        <f>IF(G425="","",ROW()-1)</f>
        <v/>
      </c>
      <c r="B425" s="20" t="n"/>
      <c r="C425" s="21" t="n"/>
      <c r="M425" s="20" t="n"/>
    </row>
    <row r="426">
      <c r="A426">
        <f>IF(G426="","",ROW()-1)</f>
        <v/>
      </c>
      <c r="B426" s="20" t="n"/>
      <c r="C426" s="21" t="n"/>
      <c r="M426" s="20" t="n"/>
    </row>
    <row r="427">
      <c r="A427">
        <f>IF(G427="","",ROW()-1)</f>
        <v/>
      </c>
      <c r="B427" s="20" t="n"/>
      <c r="C427" s="21" t="n"/>
      <c r="M427" s="20" t="n"/>
    </row>
    <row r="428">
      <c r="A428">
        <f>IF(G428="","",ROW()-1)</f>
        <v/>
      </c>
      <c r="B428" s="20" t="n"/>
      <c r="C428" s="21" t="n"/>
      <c r="M428" s="20" t="n"/>
    </row>
    <row r="429">
      <c r="A429">
        <f>IF(G429="","",ROW()-1)</f>
        <v/>
      </c>
      <c r="B429" s="20" t="n"/>
      <c r="C429" s="21" t="n"/>
      <c r="M429" s="20" t="n"/>
    </row>
    <row r="430">
      <c r="A430">
        <f>IF(G430="","",ROW()-1)</f>
        <v/>
      </c>
      <c r="B430" s="20" t="n"/>
      <c r="C430" s="21" t="n"/>
      <c r="M430" s="20" t="n"/>
    </row>
    <row r="431">
      <c r="A431">
        <f>IF(G431="","",ROW()-1)</f>
        <v/>
      </c>
      <c r="B431" s="20" t="n"/>
      <c r="C431" s="21" t="n"/>
      <c r="M431" s="20" t="n"/>
    </row>
    <row r="432">
      <c r="A432">
        <f>IF(G432="","",ROW()-1)</f>
        <v/>
      </c>
      <c r="B432" s="20" t="n"/>
      <c r="C432" s="21" t="n"/>
      <c r="M432" s="20" t="n"/>
    </row>
    <row r="433">
      <c r="A433">
        <f>IF(G433="","",ROW()-1)</f>
        <v/>
      </c>
      <c r="B433" s="20" t="n"/>
      <c r="C433" s="21" t="n"/>
      <c r="M433" s="20" t="n"/>
    </row>
    <row r="434">
      <c r="A434">
        <f>IF(G434="","",ROW()-1)</f>
        <v/>
      </c>
      <c r="B434" s="20" t="n"/>
      <c r="C434" s="21" t="n"/>
      <c r="M434" s="20" t="n"/>
    </row>
    <row r="435">
      <c r="A435">
        <f>IF(G435="","",ROW()-1)</f>
        <v/>
      </c>
      <c r="B435" s="20" t="n"/>
      <c r="C435" s="21" t="n"/>
      <c r="M435" s="20" t="n"/>
    </row>
    <row r="436">
      <c r="A436">
        <f>IF(G436="","",ROW()-1)</f>
        <v/>
      </c>
      <c r="B436" s="20" t="n"/>
      <c r="C436" s="21" t="n"/>
      <c r="M436" s="20" t="n"/>
    </row>
    <row r="437">
      <c r="A437">
        <f>IF(G437="","",ROW()-1)</f>
        <v/>
      </c>
      <c r="B437" s="20" t="n"/>
      <c r="C437" s="21" t="n"/>
      <c r="M437" s="20" t="n"/>
    </row>
    <row r="438">
      <c r="A438">
        <f>IF(G438="","",ROW()-1)</f>
        <v/>
      </c>
      <c r="B438" s="20" t="n"/>
      <c r="C438" s="21" t="n"/>
      <c r="M438" s="20" t="n"/>
    </row>
    <row r="439">
      <c r="A439">
        <f>IF(G439="","",ROW()-1)</f>
        <v/>
      </c>
      <c r="B439" s="20" t="n"/>
      <c r="C439" s="21" t="n"/>
      <c r="M439" s="20" t="n"/>
    </row>
    <row r="440">
      <c r="A440">
        <f>IF(G440="","",ROW()-1)</f>
        <v/>
      </c>
      <c r="B440" s="20" t="n"/>
      <c r="C440" s="21" t="n"/>
      <c r="M440" s="20" t="n"/>
    </row>
    <row r="441">
      <c r="A441">
        <f>IF(G441="","",ROW()-1)</f>
        <v/>
      </c>
      <c r="B441" s="20" t="n"/>
      <c r="C441" s="21" t="n"/>
      <c r="M441" s="20" t="n"/>
    </row>
    <row r="442">
      <c r="A442">
        <f>IF(G442="","",ROW()-1)</f>
        <v/>
      </c>
      <c r="B442" s="20" t="n"/>
      <c r="C442" s="21" t="n"/>
      <c r="M442" s="20" t="n"/>
    </row>
    <row r="443">
      <c r="A443">
        <f>IF(G443="","",ROW()-1)</f>
        <v/>
      </c>
      <c r="B443" s="20" t="n"/>
      <c r="C443" s="21" t="n"/>
      <c r="M443" s="20" t="n"/>
    </row>
    <row r="444">
      <c r="A444">
        <f>IF(G444="","",ROW()-1)</f>
        <v/>
      </c>
      <c r="B444" s="20" t="n"/>
      <c r="C444" s="21" t="n"/>
      <c r="M444" s="20" t="n"/>
    </row>
    <row r="445">
      <c r="A445">
        <f>IF(G445="","",ROW()-1)</f>
        <v/>
      </c>
      <c r="B445" s="20" t="n"/>
      <c r="C445" s="21" t="n"/>
      <c r="M445" s="20" t="n"/>
    </row>
    <row r="446">
      <c r="A446">
        <f>IF(G446="","",ROW()-1)</f>
        <v/>
      </c>
      <c r="B446" s="20" t="n"/>
      <c r="C446" s="21" t="n"/>
      <c r="M446" s="20" t="n"/>
    </row>
    <row r="447">
      <c r="A447">
        <f>IF(G447="","",ROW()-1)</f>
        <v/>
      </c>
      <c r="B447" s="20" t="n"/>
      <c r="C447" s="21" t="n"/>
      <c r="M447" s="20" t="n"/>
    </row>
    <row r="448">
      <c r="A448">
        <f>IF(G448="","",ROW()-1)</f>
        <v/>
      </c>
      <c r="B448" s="20" t="n"/>
      <c r="C448" s="21" t="n"/>
      <c r="M448" s="20" t="n"/>
    </row>
    <row r="449">
      <c r="A449">
        <f>IF(G449="","",ROW()-1)</f>
        <v/>
      </c>
      <c r="B449" s="20" t="n"/>
      <c r="C449" s="21" t="n"/>
      <c r="M449" s="20" t="n"/>
    </row>
    <row r="450">
      <c r="A450">
        <f>IF(G450="","",ROW()-1)</f>
        <v/>
      </c>
      <c r="B450" s="20" t="n"/>
      <c r="C450" s="21" t="n"/>
      <c r="M450" s="20" t="n"/>
    </row>
    <row r="451">
      <c r="A451">
        <f>IF(G451="","",ROW()-1)</f>
        <v/>
      </c>
      <c r="B451" s="20" t="n"/>
      <c r="C451" s="21" t="n"/>
      <c r="M451" s="20" t="n"/>
    </row>
    <row r="452">
      <c r="A452">
        <f>IF(G452="","",ROW()-1)</f>
        <v/>
      </c>
      <c r="B452" s="20" t="n"/>
      <c r="C452" s="21" t="n"/>
      <c r="M452" s="20" t="n"/>
    </row>
    <row r="453">
      <c r="A453">
        <f>IF(G453="","",ROW()-1)</f>
        <v/>
      </c>
      <c r="B453" s="20" t="n"/>
      <c r="C453" s="21" t="n"/>
      <c r="M453" s="20" t="n"/>
    </row>
    <row r="454">
      <c r="A454">
        <f>IF(G454="","",ROW()-1)</f>
        <v/>
      </c>
      <c r="B454" s="20" t="n"/>
      <c r="C454" s="21" t="n"/>
      <c r="M454" s="20" t="n"/>
    </row>
    <row r="455">
      <c r="A455">
        <f>IF(G455="","",ROW()-1)</f>
        <v/>
      </c>
      <c r="B455" s="20" t="n"/>
      <c r="C455" s="21" t="n"/>
      <c r="M455" s="20" t="n"/>
    </row>
    <row r="456">
      <c r="A456">
        <f>IF(G456="","",ROW()-1)</f>
        <v/>
      </c>
      <c r="B456" s="20" t="n"/>
      <c r="C456" s="21" t="n"/>
      <c r="M456" s="20" t="n"/>
    </row>
    <row r="457">
      <c r="A457">
        <f>IF(G457="","",ROW()-1)</f>
        <v/>
      </c>
      <c r="B457" s="20" t="n"/>
      <c r="C457" s="21" t="n"/>
      <c r="M457" s="20" t="n"/>
    </row>
    <row r="458">
      <c r="A458">
        <f>IF(G458="","",ROW()-1)</f>
        <v/>
      </c>
      <c r="B458" s="20" t="n"/>
      <c r="C458" s="21" t="n"/>
      <c r="M458" s="20" t="n"/>
    </row>
    <row r="459">
      <c r="A459">
        <f>IF(G459="","",ROW()-1)</f>
        <v/>
      </c>
      <c r="B459" s="20" t="n"/>
      <c r="C459" s="21" t="n"/>
      <c r="M459" s="20" t="n"/>
    </row>
    <row r="460">
      <c r="A460">
        <f>IF(G460="","",ROW()-1)</f>
        <v/>
      </c>
      <c r="B460" s="20" t="n"/>
      <c r="C460" s="21" t="n"/>
      <c r="M460" s="20" t="n"/>
    </row>
    <row r="461">
      <c r="A461">
        <f>IF(G461="","",ROW()-1)</f>
        <v/>
      </c>
      <c r="B461" s="20" t="n"/>
      <c r="C461" s="21" t="n"/>
      <c r="M461" s="20" t="n"/>
    </row>
    <row r="462">
      <c r="A462">
        <f>IF(G462="","",ROW()-1)</f>
        <v/>
      </c>
      <c r="B462" s="20" t="n"/>
      <c r="C462" s="21" t="n"/>
      <c r="M462" s="20" t="n"/>
    </row>
    <row r="463">
      <c r="A463">
        <f>IF(G463="","",ROW()-1)</f>
        <v/>
      </c>
      <c r="B463" s="20" t="n"/>
      <c r="C463" s="21" t="n"/>
      <c r="M463" s="20" t="n"/>
    </row>
    <row r="464">
      <c r="A464">
        <f>IF(G464="","",ROW()-1)</f>
        <v/>
      </c>
      <c r="B464" s="20" t="n"/>
      <c r="C464" s="21" t="n"/>
      <c r="M464" s="20" t="n"/>
    </row>
    <row r="465">
      <c r="A465">
        <f>IF(G465="","",ROW()-1)</f>
        <v/>
      </c>
      <c r="B465" s="20" t="n"/>
      <c r="C465" s="21" t="n"/>
      <c r="M465" s="20" t="n"/>
    </row>
    <row r="466">
      <c r="A466">
        <f>IF(G466="","",ROW()-1)</f>
        <v/>
      </c>
      <c r="B466" s="20" t="n"/>
      <c r="C466" s="21" t="n"/>
      <c r="M466" s="20" t="n"/>
    </row>
    <row r="467">
      <c r="A467">
        <f>IF(G467="","",ROW()-1)</f>
        <v/>
      </c>
      <c r="B467" s="20" t="n"/>
      <c r="C467" s="21" t="n"/>
      <c r="M467" s="20" t="n"/>
    </row>
    <row r="468">
      <c r="A468">
        <f>IF(G468="","",ROW()-1)</f>
        <v/>
      </c>
      <c r="B468" s="20" t="n"/>
      <c r="C468" s="21" t="n"/>
      <c r="M468" s="20" t="n"/>
    </row>
    <row r="469">
      <c r="A469">
        <f>IF(G469="","",ROW()-1)</f>
        <v/>
      </c>
      <c r="B469" s="20" t="n"/>
      <c r="C469" s="21" t="n"/>
      <c r="M469" s="20" t="n"/>
    </row>
    <row r="470">
      <c r="A470">
        <f>IF(G470="","",ROW()-1)</f>
        <v/>
      </c>
      <c r="B470" s="20" t="n"/>
      <c r="C470" s="21" t="n"/>
      <c r="M470" s="20" t="n"/>
    </row>
    <row r="471">
      <c r="A471">
        <f>IF(G471="","",ROW()-1)</f>
        <v/>
      </c>
      <c r="B471" s="20" t="n"/>
      <c r="C471" s="21" t="n"/>
      <c r="M471" s="20" t="n"/>
    </row>
    <row r="472">
      <c r="A472">
        <f>IF(G472="","",ROW()-1)</f>
        <v/>
      </c>
      <c r="B472" s="20" t="n"/>
      <c r="C472" s="21" t="n"/>
      <c r="M472" s="20" t="n"/>
    </row>
    <row r="473">
      <c r="A473">
        <f>IF(G473="","",ROW()-1)</f>
        <v/>
      </c>
      <c r="B473" s="20" t="n"/>
      <c r="C473" s="21" t="n"/>
      <c r="M473" s="20" t="n"/>
    </row>
    <row r="474">
      <c r="A474">
        <f>IF(G474="","",ROW()-1)</f>
        <v/>
      </c>
      <c r="B474" s="20" t="n"/>
      <c r="C474" s="21" t="n"/>
      <c r="M474" s="20" t="n"/>
    </row>
    <row r="475">
      <c r="A475">
        <f>IF(G475="","",ROW()-1)</f>
        <v/>
      </c>
      <c r="B475" s="20" t="n"/>
      <c r="C475" s="21" t="n"/>
      <c r="M475" s="20" t="n"/>
    </row>
    <row r="476">
      <c r="A476">
        <f>IF(G476="","",ROW()-1)</f>
        <v/>
      </c>
      <c r="B476" s="20" t="n"/>
      <c r="C476" s="21" t="n"/>
      <c r="M476" s="20" t="n"/>
    </row>
    <row r="477">
      <c r="A477">
        <f>IF(G477="","",ROW()-1)</f>
        <v/>
      </c>
      <c r="B477" s="20" t="n"/>
      <c r="C477" s="21" t="n"/>
      <c r="M477" s="20" t="n"/>
    </row>
    <row r="478">
      <c r="A478">
        <f>IF(G478="","",ROW()-1)</f>
        <v/>
      </c>
      <c r="B478" s="20" t="n"/>
      <c r="C478" s="21" t="n"/>
      <c r="M478" s="20" t="n"/>
    </row>
    <row r="479">
      <c r="A479">
        <f>IF(G479="","",ROW()-1)</f>
        <v/>
      </c>
      <c r="B479" s="20" t="n"/>
      <c r="C479" s="21" t="n"/>
      <c r="M479" s="20" t="n"/>
    </row>
    <row r="480">
      <c r="A480">
        <f>IF(G480="","",ROW()-1)</f>
        <v/>
      </c>
      <c r="B480" s="20" t="n"/>
      <c r="C480" s="21" t="n"/>
      <c r="M480" s="20" t="n"/>
    </row>
    <row r="481">
      <c r="A481">
        <f>IF(G481="","",ROW()-1)</f>
        <v/>
      </c>
      <c r="B481" s="20" t="n"/>
      <c r="C481" s="21" t="n"/>
      <c r="M481" s="20" t="n"/>
    </row>
    <row r="482">
      <c r="A482">
        <f>IF(G482="","",ROW()-1)</f>
        <v/>
      </c>
      <c r="B482" s="20" t="n"/>
      <c r="C482" s="21" t="n"/>
      <c r="M482" s="20" t="n"/>
    </row>
    <row r="483">
      <c r="A483">
        <f>IF(G483="","",ROW()-1)</f>
        <v/>
      </c>
      <c r="B483" s="20" t="n"/>
      <c r="C483" s="21" t="n"/>
      <c r="M483" s="20" t="n"/>
    </row>
    <row r="484">
      <c r="A484">
        <f>IF(G484="","",ROW()-1)</f>
        <v/>
      </c>
      <c r="B484" s="20" t="n"/>
      <c r="C484" s="21" t="n"/>
      <c r="M484" s="20" t="n"/>
    </row>
    <row r="485">
      <c r="A485">
        <f>IF(G485="","",ROW()-1)</f>
        <v/>
      </c>
      <c r="B485" s="20" t="n"/>
      <c r="C485" s="21" t="n"/>
      <c r="M485" s="20" t="n"/>
    </row>
    <row r="486">
      <c r="A486">
        <f>IF(G486="","",ROW()-1)</f>
        <v/>
      </c>
      <c r="B486" s="20" t="n"/>
      <c r="C486" s="21" t="n"/>
      <c r="M486" s="20" t="n"/>
    </row>
    <row r="487">
      <c r="A487">
        <f>IF(G487="","",ROW()-1)</f>
        <v/>
      </c>
      <c r="B487" s="20" t="n"/>
      <c r="C487" s="21" t="n"/>
      <c r="M487" s="20" t="n"/>
    </row>
    <row r="488">
      <c r="A488">
        <f>IF(G488="","",ROW()-1)</f>
        <v/>
      </c>
      <c r="B488" s="20" t="n"/>
      <c r="C488" s="21" t="n"/>
      <c r="M488" s="20" t="n"/>
    </row>
    <row r="489">
      <c r="A489">
        <f>IF(G489="","",ROW()-1)</f>
        <v/>
      </c>
      <c r="B489" s="20" t="n"/>
      <c r="C489" s="21" t="n"/>
      <c r="M489" s="20" t="n"/>
    </row>
    <row r="490">
      <c r="A490">
        <f>IF(G490="","",ROW()-1)</f>
        <v/>
      </c>
      <c r="B490" s="20" t="n"/>
      <c r="C490" s="21" t="n"/>
      <c r="M490" s="20" t="n"/>
    </row>
    <row r="491">
      <c r="A491">
        <f>IF(G491="","",ROW()-1)</f>
        <v/>
      </c>
      <c r="B491" s="20" t="n"/>
      <c r="C491" s="21" t="n"/>
      <c r="M491" s="20" t="n"/>
    </row>
    <row r="492">
      <c r="A492">
        <f>IF(G492="","",ROW()-1)</f>
        <v/>
      </c>
      <c r="B492" s="20" t="n"/>
      <c r="C492" s="21" t="n"/>
      <c r="M492" s="20" t="n"/>
    </row>
    <row r="493">
      <c r="A493">
        <f>IF(G493="","",ROW()-1)</f>
        <v/>
      </c>
      <c r="B493" s="20" t="n"/>
      <c r="C493" s="21" t="n"/>
      <c r="M493" s="20" t="n"/>
    </row>
    <row r="494">
      <c r="A494">
        <f>IF(G494="","",ROW()-1)</f>
        <v/>
      </c>
      <c r="B494" s="20" t="n"/>
      <c r="C494" s="21" t="n"/>
      <c r="M494" s="20" t="n"/>
    </row>
    <row r="495">
      <c r="A495">
        <f>IF(G495="","",ROW()-1)</f>
        <v/>
      </c>
      <c r="B495" s="20" t="n"/>
      <c r="C495" s="21" t="n"/>
      <c r="M495" s="20" t="n"/>
    </row>
    <row r="496">
      <c r="A496">
        <f>IF(G496="","",ROW()-1)</f>
        <v/>
      </c>
      <c r="B496" s="20" t="n"/>
      <c r="C496" s="21" t="n"/>
      <c r="M496" s="20" t="n"/>
    </row>
    <row r="497">
      <c r="A497">
        <f>IF(G497="","",ROW()-1)</f>
        <v/>
      </c>
      <c r="B497" s="20" t="n"/>
      <c r="C497" s="21" t="n"/>
      <c r="M497" s="20" t="n"/>
    </row>
    <row r="498">
      <c r="A498">
        <f>IF(G498="","",ROW()-1)</f>
        <v/>
      </c>
      <c r="B498" s="20" t="n"/>
      <c r="C498" s="21" t="n"/>
      <c r="M498" s="20" t="n"/>
    </row>
    <row r="499">
      <c r="A499">
        <f>IF(G499="","",ROW()-1)</f>
        <v/>
      </c>
      <c r="B499" s="20" t="n"/>
      <c r="C499" s="21" t="n"/>
      <c r="M499" s="20" t="n"/>
    </row>
    <row r="500">
      <c r="A500">
        <f>IF(G500="","",ROW()-1)</f>
        <v/>
      </c>
      <c r="B500" s="20" t="n"/>
      <c r="C500" s="21" t="n"/>
      <c r="M500" s="20" t="n"/>
    </row>
    <row r="501">
      <c r="A501">
        <f>IF(G501="","",ROW()-1)</f>
        <v/>
      </c>
      <c r="B501" s="20" t="n"/>
      <c r="C501" s="21" t="n"/>
      <c r="M501" s="20" t="n"/>
    </row>
    <row r="502">
      <c r="A502">
        <f>IF(G502="","",ROW()-1)</f>
        <v/>
      </c>
      <c r="B502" s="20" t="n"/>
      <c r="C502" s="21" t="n"/>
      <c r="M502" s="20" t="n"/>
    </row>
    <row r="503">
      <c r="A503">
        <f>IF(G503="","",ROW()-1)</f>
        <v/>
      </c>
      <c r="B503" s="20" t="n"/>
      <c r="C503" s="21" t="n"/>
      <c r="M503" s="20" t="n"/>
    </row>
    <row r="504">
      <c r="A504">
        <f>IF(G504="","",ROW()-1)</f>
        <v/>
      </c>
      <c r="B504" s="20" t="n"/>
      <c r="C504" s="21" t="n"/>
      <c r="M504" s="20" t="n"/>
    </row>
    <row r="505">
      <c r="A505">
        <f>IF(G505="","",ROW()-1)</f>
        <v/>
      </c>
      <c r="B505" s="20" t="n"/>
      <c r="C505" s="21" t="n"/>
      <c r="M505" s="20" t="n"/>
    </row>
    <row r="506">
      <c r="A506">
        <f>IF(G506="","",ROW()-1)</f>
        <v/>
      </c>
      <c r="B506" s="20" t="n"/>
      <c r="C506" s="21" t="n"/>
      <c r="M506" s="20" t="n"/>
    </row>
    <row r="507">
      <c r="A507">
        <f>IF(G507="","",ROW()-1)</f>
        <v/>
      </c>
      <c r="B507" s="20" t="n"/>
      <c r="C507" s="21" t="n"/>
      <c r="M507" s="20" t="n"/>
    </row>
    <row r="508">
      <c r="A508">
        <f>IF(G508="","",ROW()-1)</f>
        <v/>
      </c>
      <c r="B508" s="20" t="n"/>
      <c r="C508" s="21" t="n"/>
      <c r="M508" s="20" t="n"/>
    </row>
    <row r="509">
      <c r="A509">
        <f>IF(G509="","",ROW()-1)</f>
        <v/>
      </c>
      <c r="B509" s="20" t="n"/>
      <c r="C509" s="21" t="n"/>
      <c r="M509" s="20" t="n"/>
    </row>
    <row r="510">
      <c r="A510">
        <f>IF(G510="","",ROW()-1)</f>
        <v/>
      </c>
      <c r="B510" s="20" t="n"/>
      <c r="C510" s="21" t="n"/>
      <c r="M510" s="20" t="n"/>
    </row>
    <row r="511">
      <c r="A511">
        <f>IF(G511="","",ROW()-1)</f>
        <v/>
      </c>
      <c r="B511" s="20" t="n"/>
      <c r="C511" s="21" t="n"/>
      <c r="M511" s="20" t="n"/>
    </row>
    <row r="512">
      <c r="A512">
        <f>IF(G512="","",ROW()-1)</f>
        <v/>
      </c>
      <c r="B512" s="20" t="n"/>
      <c r="C512" s="21" t="n"/>
      <c r="M512" s="20" t="n"/>
    </row>
    <row r="513">
      <c r="A513">
        <f>IF(G513="","",ROW()-1)</f>
        <v/>
      </c>
      <c r="B513" s="20" t="n"/>
      <c r="C513" s="21" t="n"/>
      <c r="M513" s="20" t="n"/>
    </row>
    <row r="514">
      <c r="A514">
        <f>IF(G514="","",ROW()-1)</f>
        <v/>
      </c>
      <c r="B514" s="20" t="n"/>
      <c r="C514" s="21" t="n"/>
      <c r="M514" s="20" t="n"/>
    </row>
    <row r="515">
      <c r="A515">
        <f>IF(G515="","",ROW()-1)</f>
        <v/>
      </c>
      <c r="B515" s="20" t="n"/>
      <c r="C515" s="21" t="n"/>
      <c r="M515" s="20" t="n"/>
    </row>
    <row r="516">
      <c r="A516">
        <f>IF(G516="","",ROW()-1)</f>
        <v/>
      </c>
      <c r="B516" s="20" t="n"/>
      <c r="C516" s="21" t="n"/>
      <c r="M516" s="20" t="n"/>
    </row>
    <row r="517">
      <c r="A517">
        <f>IF(G517="","",ROW()-1)</f>
        <v/>
      </c>
      <c r="B517" s="20" t="n"/>
      <c r="C517" s="21" t="n"/>
      <c r="M517" s="20" t="n"/>
    </row>
    <row r="518">
      <c r="A518">
        <f>IF(G518="","",ROW()-1)</f>
        <v/>
      </c>
      <c r="B518" s="20" t="n"/>
      <c r="C518" s="21" t="n"/>
      <c r="M518" s="20" t="n"/>
    </row>
    <row r="519">
      <c r="A519">
        <f>IF(G519="","",ROW()-1)</f>
        <v/>
      </c>
      <c r="B519" s="20" t="n"/>
      <c r="C519" s="21" t="n"/>
      <c r="M519" s="20" t="n"/>
    </row>
    <row r="520">
      <c r="A520">
        <f>IF(G520="","",ROW()-1)</f>
        <v/>
      </c>
      <c r="B520" s="20" t="n"/>
      <c r="C520" s="21" t="n"/>
      <c r="M520" s="20" t="n"/>
    </row>
    <row r="521">
      <c r="A521">
        <f>IF(G521="","",ROW()-1)</f>
        <v/>
      </c>
      <c r="B521" s="20" t="n"/>
      <c r="C521" s="21" t="n"/>
      <c r="M521" s="20" t="n"/>
    </row>
    <row r="522">
      <c r="A522">
        <f>IF(G522="","",ROW()-1)</f>
        <v/>
      </c>
      <c r="B522" s="20" t="n"/>
      <c r="C522" s="21" t="n"/>
      <c r="M522" s="20" t="n"/>
    </row>
    <row r="523">
      <c r="A523">
        <f>IF(G523="","",ROW()-1)</f>
        <v/>
      </c>
      <c r="B523" s="20" t="n"/>
      <c r="C523" s="21" t="n"/>
      <c r="M523" s="20" t="n"/>
    </row>
    <row r="524">
      <c r="A524">
        <f>IF(G524="","",ROW()-1)</f>
        <v/>
      </c>
      <c r="B524" s="20" t="n"/>
      <c r="C524" s="21" t="n"/>
      <c r="M524" s="20" t="n"/>
    </row>
    <row r="525">
      <c r="A525">
        <f>IF(G525="","",ROW()-1)</f>
        <v/>
      </c>
      <c r="B525" s="20" t="n"/>
      <c r="C525" s="21" t="n"/>
      <c r="M525" s="20" t="n"/>
    </row>
    <row r="526">
      <c r="A526">
        <f>IF(G526="","",ROW()-1)</f>
        <v/>
      </c>
      <c r="B526" s="20" t="n"/>
      <c r="C526" s="21" t="n"/>
      <c r="M526" s="20" t="n"/>
    </row>
    <row r="527">
      <c r="A527">
        <f>IF(G527="","",ROW()-1)</f>
        <v/>
      </c>
      <c r="B527" s="20" t="n"/>
      <c r="C527" s="21" t="n"/>
      <c r="M527" s="20" t="n"/>
    </row>
    <row r="528">
      <c r="A528">
        <f>IF(G528="","",ROW()-1)</f>
        <v/>
      </c>
      <c r="B528" s="20" t="n"/>
      <c r="C528" s="21" t="n"/>
      <c r="M528" s="20" t="n"/>
    </row>
    <row r="529">
      <c r="A529">
        <f>IF(G529="","",ROW()-1)</f>
        <v/>
      </c>
      <c r="B529" s="20" t="n"/>
      <c r="C529" s="21" t="n"/>
      <c r="M529" s="20" t="n"/>
    </row>
    <row r="530">
      <c r="A530">
        <f>IF(G530="","",ROW()-1)</f>
        <v/>
      </c>
      <c r="B530" s="20" t="n"/>
      <c r="C530" s="21" t="n"/>
      <c r="M530" s="20" t="n"/>
    </row>
    <row r="531">
      <c r="A531">
        <f>IF(G531="","",ROW()-1)</f>
        <v/>
      </c>
      <c r="B531" s="20" t="n"/>
      <c r="C531" s="21" t="n"/>
      <c r="M531" s="20" t="n"/>
    </row>
    <row r="532">
      <c r="A532">
        <f>IF(G532="","",ROW()-1)</f>
        <v/>
      </c>
      <c r="B532" s="20" t="n"/>
      <c r="C532" s="21" t="n"/>
      <c r="M532" s="20" t="n"/>
    </row>
    <row r="533">
      <c r="A533">
        <f>IF(G533="","",ROW()-1)</f>
        <v/>
      </c>
      <c r="B533" s="20" t="n"/>
      <c r="C533" s="21" t="n"/>
      <c r="M533" s="20" t="n"/>
    </row>
    <row r="534">
      <c r="A534">
        <f>IF(G534="","",ROW()-1)</f>
        <v/>
      </c>
      <c r="B534" s="20" t="n"/>
      <c r="C534" s="21" t="n"/>
      <c r="M534" s="20" t="n"/>
    </row>
    <row r="535">
      <c r="A535">
        <f>IF(G535="","",ROW()-1)</f>
        <v/>
      </c>
      <c r="B535" s="20" t="n"/>
      <c r="C535" s="21" t="n"/>
      <c r="M535" s="20" t="n"/>
    </row>
    <row r="536">
      <c r="A536">
        <f>IF(G536="","",ROW()-1)</f>
        <v/>
      </c>
      <c r="B536" s="20" t="n"/>
      <c r="C536" s="21" t="n"/>
      <c r="M536" s="20" t="n"/>
    </row>
    <row r="537">
      <c r="A537">
        <f>IF(G537="","",ROW()-1)</f>
        <v/>
      </c>
      <c r="B537" s="20" t="n"/>
      <c r="C537" s="21" t="n"/>
      <c r="M537" s="20" t="n"/>
    </row>
    <row r="538">
      <c r="A538">
        <f>IF(G538="","",ROW()-1)</f>
        <v/>
      </c>
      <c r="B538" s="20" t="n"/>
      <c r="C538" s="21" t="n"/>
      <c r="M538" s="20" t="n"/>
    </row>
    <row r="539">
      <c r="A539">
        <f>IF(G539="","",ROW()-1)</f>
        <v/>
      </c>
      <c r="B539" s="20" t="n"/>
      <c r="C539" s="21" t="n"/>
      <c r="M539" s="20" t="n"/>
    </row>
    <row r="540">
      <c r="A540">
        <f>IF(G540="","",ROW()-1)</f>
        <v/>
      </c>
      <c r="B540" s="20" t="n"/>
      <c r="C540" s="21" t="n"/>
      <c r="M540" s="20" t="n"/>
    </row>
    <row r="541">
      <c r="A541">
        <f>IF(G541="","",ROW()-1)</f>
        <v/>
      </c>
      <c r="B541" s="20" t="n"/>
      <c r="C541" s="21" t="n"/>
      <c r="M541" s="20" t="n"/>
    </row>
    <row r="542">
      <c r="A542">
        <f>IF(G542="","",ROW()-1)</f>
        <v/>
      </c>
      <c r="B542" s="20" t="n"/>
      <c r="C542" s="21" t="n"/>
      <c r="M542" s="20" t="n"/>
    </row>
    <row r="543">
      <c r="A543">
        <f>IF(G543="","",ROW()-1)</f>
        <v/>
      </c>
      <c r="B543" s="20" t="n"/>
      <c r="C543" s="21" t="n"/>
      <c r="M543" s="20" t="n"/>
    </row>
    <row r="544">
      <c r="A544">
        <f>IF(G544="","",ROW()-1)</f>
        <v/>
      </c>
      <c r="B544" s="20" t="n"/>
      <c r="C544" s="21" t="n"/>
      <c r="M544" s="20" t="n"/>
    </row>
    <row r="545">
      <c r="A545">
        <f>IF(G545="","",ROW()-1)</f>
        <v/>
      </c>
      <c r="B545" s="20" t="n"/>
      <c r="C545" s="21" t="n"/>
      <c r="M545" s="20" t="n"/>
    </row>
    <row r="546">
      <c r="A546">
        <f>IF(G546="","",ROW()-1)</f>
        <v/>
      </c>
      <c r="B546" s="20" t="n"/>
      <c r="C546" s="21" t="n"/>
      <c r="M546" s="20" t="n"/>
    </row>
    <row r="547">
      <c r="A547">
        <f>IF(G547="","",ROW()-1)</f>
        <v/>
      </c>
      <c r="B547" s="20" t="n"/>
      <c r="C547" s="21" t="n"/>
      <c r="M547" s="20" t="n"/>
    </row>
    <row r="548">
      <c r="A548">
        <f>IF(G548="","",ROW()-1)</f>
        <v/>
      </c>
      <c r="B548" s="20" t="n"/>
      <c r="C548" s="21" t="n"/>
      <c r="M548" s="20" t="n"/>
    </row>
    <row r="549">
      <c r="A549">
        <f>IF(G549="","",ROW()-1)</f>
        <v/>
      </c>
      <c r="B549" s="20" t="n"/>
      <c r="C549" s="21" t="n"/>
      <c r="M549" s="20" t="n"/>
    </row>
    <row r="550">
      <c r="A550">
        <f>IF(G550="","",ROW()-1)</f>
        <v/>
      </c>
      <c r="B550" s="20" t="n"/>
      <c r="C550" s="21" t="n"/>
      <c r="M550" s="20" t="n"/>
    </row>
    <row r="551">
      <c r="A551">
        <f>IF(G551="","",ROW()-1)</f>
        <v/>
      </c>
      <c r="B551" s="20" t="n"/>
      <c r="C551" s="21" t="n"/>
      <c r="M551" s="20" t="n"/>
    </row>
    <row r="552">
      <c r="A552">
        <f>IF(G552="","",ROW()-1)</f>
        <v/>
      </c>
      <c r="B552" s="20" t="n"/>
      <c r="C552" s="21" t="n"/>
      <c r="M552" s="20" t="n"/>
    </row>
    <row r="553">
      <c r="A553">
        <f>IF(G553="","",ROW()-1)</f>
        <v/>
      </c>
      <c r="B553" s="20" t="n"/>
      <c r="C553" s="21" t="n"/>
      <c r="M553" s="20" t="n"/>
    </row>
    <row r="554">
      <c r="A554">
        <f>IF(G554="","",ROW()-1)</f>
        <v/>
      </c>
      <c r="B554" s="20" t="n"/>
      <c r="C554" s="21" t="n"/>
      <c r="M554" s="20" t="n"/>
    </row>
    <row r="555">
      <c r="A555">
        <f>IF(G555="","",ROW()-1)</f>
        <v/>
      </c>
      <c r="B555" s="20" t="n"/>
      <c r="C555" s="21" t="n"/>
      <c r="M555" s="20" t="n"/>
    </row>
    <row r="556">
      <c r="A556">
        <f>IF(G556="","",ROW()-1)</f>
        <v/>
      </c>
      <c r="B556" s="20" t="n"/>
      <c r="C556" s="21" t="n"/>
      <c r="M556" s="20" t="n"/>
    </row>
    <row r="557">
      <c r="A557">
        <f>IF(G557="","",ROW()-1)</f>
        <v/>
      </c>
      <c r="B557" s="20" t="n"/>
      <c r="C557" s="21" t="n"/>
      <c r="M557" s="20" t="n"/>
    </row>
    <row r="558">
      <c r="A558">
        <f>IF(G558="","",ROW()-1)</f>
        <v/>
      </c>
      <c r="B558" s="20" t="n"/>
      <c r="C558" s="21" t="n"/>
      <c r="M558" s="20" t="n"/>
    </row>
    <row r="559">
      <c r="A559">
        <f>IF(G559="","",ROW()-1)</f>
        <v/>
      </c>
      <c r="B559" s="20" t="n"/>
      <c r="C559" s="21" t="n"/>
      <c r="M559" s="20" t="n"/>
    </row>
    <row r="560">
      <c r="A560">
        <f>IF(G560="","",ROW()-1)</f>
        <v/>
      </c>
      <c r="B560" s="20" t="n"/>
      <c r="C560" s="21" t="n"/>
      <c r="M560" s="20" t="n"/>
    </row>
    <row r="561">
      <c r="A561">
        <f>IF(G561="","",ROW()-1)</f>
        <v/>
      </c>
      <c r="B561" s="20" t="n"/>
      <c r="C561" s="21" t="n"/>
      <c r="M561" s="20" t="n"/>
    </row>
    <row r="562">
      <c r="A562">
        <f>IF(G562="","",ROW()-1)</f>
        <v/>
      </c>
      <c r="B562" s="20" t="n"/>
      <c r="C562" s="21" t="n"/>
      <c r="M562" s="20" t="n"/>
    </row>
    <row r="563">
      <c r="A563">
        <f>IF(G563="","",ROW()-1)</f>
        <v/>
      </c>
      <c r="B563" s="20" t="n"/>
      <c r="C563" s="21" t="n"/>
      <c r="M563" s="20" t="n"/>
    </row>
    <row r="564">
      <c r="A564">
        <f>IF(G564="","",ROW()-1)</f>
        <v/>
      </c>
      <c r="B564" s="20" t="n"/>
      <c r="C564" s="21" t="n"/>
      <c r="M564" s="20" t="n"/>
    </row>
    <row r="565">
      <c r="A565">
        <f>IF(G565="","",ROW()-1)</f>
        <v/>
      </c>
      <c r="B565" s="20" t="n"/>
      <c r="C565" s="21" t="n"/>
      <c r="M565" s="20" t="n"/>
    </row>
    <row r="566">
      <c r="A566">
        <f>IF(G566="","",ROW()-1)</f>
        <v/>
      </c>
      <c r="B566" s="20" t="n"/>
      <c r="C566" s="21" t="n"/>
      <c r="M566" s="20" t="n"/>
    </row>
    <row r="567">
      <c r="A567">
        <f>IF(G567="","",ROW()-1)</f>
        <v/>
      </c>
      <c r="B567" s="20" t="n"/>
      <c r="C567" s="21" t="n"/>
      <c r="M567" s="20" t="n"/>
    </row>
    <row r="568">
      <c r="A568">
        <f>IF(G568="","",ROW()-1)</f>
        <v/>
      </c>
      <c r="B568" s="20" t="n"/>
      <c r="C568" s="21" t="n"/>
      <c r="M568" s="20" t="n"/>
    </row>
    <row r="569">
      <c r="A569">
        <f>IF(G569="","",ROW()-1)</f>
        <v/>
      </c>
      <c r="B569" s="20" t="n"/>
      <c r="C569" s="21" t="n"/>
      <c r="M569" s="20" t="n"/>
    </row>
    <row r="570">
      <c r="A570">
        <f>IF(G570="","",ROW()-1)</f>
        <v/>
      </c>
      <c r="B570" s="20" t="n"/>
      <c r="C570" s="21" t="n"/>
      <c r="M570" s="20" t="n"/>
    </row>
    <row r="571">
      <c r="A571">
        <f>IF(G571="","",ROW()-1)</f>
        <v/>
      </c>
      <c r="B571" s="20" t="n"/>
      <c r="C571" s="21" t="n"/>
      <c r="M571" s="20" t="n"/>
    </row>
    <row r="572">
      <c r="A572">
        <f>IF(G572="","",ROW()-1)</f>
        <v/>
      </c>
      <c r="B572" s="20" t="n"/>
      <c r="C572" s="21" t="n"/>
      <c r="M572" s="20" t="n"/>
    </row>
    <row r="573">
      <c r="A573">
        <f>IF(G573="","",ROW()-1)</f>
        <v/>
      </c>
      <c r="B573" s="20" t="n"/>
      <c r="C573" s="21" t="n"/>
      <c r="M573" s="20" t="n"/>
    </row>
    <row r="574">
      <c r="A574">
        <f>IF(G574="","",ROW()-1)</f>
        <v/>
      </c>
      <c r="B574" s="20" t="n"/>
      <c r="C574" s="21" t="n"/>
      <c r="M574" s="20" t="n"/>
    </row>
    <row r="575">
      <c r="A575">
        <f>IF(G575="","",ROW()-1)</f>
        <v/>
      </c>
      <c r="B575" s="20" t="n"/>
      <c r="C575" s="21" t="n"/>
      <c r="M575" s="20" t="n"/>
    </row>
    <row r="576">
      <c r="A576">
        <f>IF(G576="","",ROW()-1)</f>
        <v/>
      </c>
      <c r="B576" s="20" t="n"/>
      <c r="C576" s="21" t="n"/>
      <c r="M576" s="20" t="n"/>
    </row>
    <row r="577">
      <c r="A577">
        <f>IF(G577="","",ROW()-1)</f>
        <v/>
      </c>
      <c r="B577" s="20" t="n"/>
      <c r="C577" s="21" t="n"/>
      <c r="M577" s="20" t="n"/>
    </row>
    <row r="578">
      <c r="A578">
        <f>IF(G578="","",ROW()-1)</f>
        <v/>
      </c>
      <c r="B578" s="20" t="n"/>
      <c r="C578" s="21" t="n"/>
      <c r="M578" s="20" t="n"/>
    </row>
    <row r="579">
      <c r="A579">
        <f>IF(G579="","",ROW()-1)</f>
        <v/>
      </c>
      <c r="B579" s="20" t="n"/>
      <c r="C579" s="21" t="n"/>
      <c r="M579" s="20" t="n"/>
    </row>
    <row r="580">
      <c r="A580">
        <f>IF(G580="","",ROW()-1)</f>
        <v/>
      </c>
      <c r="B580" s="20" t="n"/>
      <c r="C580" s="21" t="n"/>
      <c r="M580" s="20" t="n"/>
    </row>
    <row r="581">
      <c r="A581">
        <f>IF(G581="","",ROW()-1)</f>
        <v/>
      </c>
      <c r="B581" s="20" t="n"/>
      <c r="C581" s="21" t="n"/>
      <c r="M581" s="20" t="n"/>
    </row>
    <row r="582">
      <c r="A582">
        <f>IF(G582="","",ROW()-1)</f>
        <v/>
      </c>
      <c r="B582" s="20" t="n"/>
      <c r="C582" s="21" t="n"/>
      <c r="M582" s="20" t="n"/>
    </row>
    <row r="583">
      <c r="A583">
        <f>IF(G583="","",ROW()-1)</f>
        <v/>
      </c>
      <c r="B583" s="20" t="n"/>
      <c r="C583" s="21" t="n"/>
      <c r="M583" s="20" t="n"/>
    </row>
    <row r="584">
      <c r="A584">
        <f>IF(G584="","",ROW()-1)</f>
        <v/>
      </c>
      <c r="B584" s="20" t="n"/>
      <c r="C584" s="21" t="n"/>
      <c r="M584" s="20" t="n"/>
    </row>
    <row r="585">
      <c r="A585">
        <f>IF(G585="","",ROW()-1)</f>
        <v/>
      </c>
      <c r="B585" s="20" t="n"/>
      <c r="C585" s="21" t="n"/>
      <c r="M585" s="20" t="n"/>
    </row>
    <row r="586">
      <c r="A586">
        <f>IF(G586="","",ROW()-1)</f>
        <v/>
      </c>
      <c r="B586" s="20" t="n"/>
      <c r="C586" s="21" t="n"/>
      <c r="M586" s="20" t="n"/>
    </row>
    <row r="587">
      <c r="A587">
        <f>IF(G587="","",ROW()-1)</f>
        <v/>
      </c>
      <c r="B587" s="20" t="n"/>
      <c r="C587" s="21" t="n"/>
      <c r="M587" s="20" t="n"/>
    </row>
    <row r="588">
      <c r="A588">
        <f>IF(G588="","",ROW()-1)</f>
        <v/>
      </c>
      <c r="B588" s="20" t="n"/>
      <c r="C588" s="21" t="n"/>
      <c r="M588" s="20" t="n"/>
    </row>
    <row r="589">
      <c r="A589">
        <f>IF(G589="","",ROW()-1)</f>
        <v/>
      </c>
      <c r="B589" s="20" t="n"/>
      <c r="C589" s="21" t="n"/>
      <c r="M589" s="20" t="n"/>
    </row>
    <row r="590">
      <c r="A590">
        <f>IF(G590="","",ROW()-1)</f>
        <v/>
      </c>
      <c r="B590" s="20" t="n"/>
      <c r="C590" s="21" t="n"/>
      <c r="M590" s="20" t="n"/>
    </row>
    <row r="591">
      <c r="A591">
        <f>IF(G591="","",ROW()-1)</f>
        <v/>
      </c>
      <c r="B591" s="20" t="n"/>
      <c r="C591" s="21" t="n"/>
      <c r="M591" s="20" t="n"/>
    </row>
    <row r="592">
      <c r="A592">
        <f>IF(G592="","",ROW()-1)</f>
        <v/>
      </c>
      <c r="B592" s="20" t="n"/>
      <c r="C592" s="21" t="n"/>
      <c r="M592" s="20" t="n"/>
    </row>
    <row r="593">
      <c r="A593">
        <f>IF(G593="","",ROW()-1)</f>
        <v/>
      </c>
      <c r="B593" s="20" t="n"/>
      <c r="C593" s="21" t="n"/>
      <c r="M593" s="20" t="n"/>
    </row>
    <row r="594">
      <c r="A594">
        <f>IF(G594="","",ROW()-1)</f>
        <v/>
      </c>
      <c r="B594" s="20" t="n"/>
      <c r="C594" s="21" t="n"/>
      <c r="M594" s="20" t="n"/>
    </row>
    <row r="595">
      <c r="A595">
        <f>IF(G595="","",ROW()-1)</f>
        <v/>
      </c>
      <c r="B595" s="20" t="n"/>
      <c r="C595" s="21" t="n"/>
      <c r="M595" s="20" t="n"/>
    </row>
    <row r="596">
      <c r="A596">
        <f>IF(G596="","",ROW()-1)</f>
        <v/>
      </c>
      <c r="B596" s="20" t="n"/>
      <c r="C596" s="21" t="n"/>
      <c r="M596" s="20" t="n"/>
    </row>
    <row r="597">
      <c r="A597">
        <f>IF(G597="","",ROW()-1)</f>
        <v/>
      </c>
      <c r="B597" s="20" t="n"/>
      <c r="C597" s="21" t="n"/>
      <c r="M597" s="20" t="n"/>
    </row>
    <row r="598">
      <c r="A598">
        <f>IF(G598="","",ROW()-1)</f>
        <v/>
      </c>
      <c r="B598" s="20" t="n"/>
      <c r="C598" s="21" t="n"/>
      <c r="M598" s="20" t="n"/>
    </row>
    <row r="599">
      <c r="A599">
        <f>IF(G599="","",ROW()-1)</f>
        <v/>
      </c>
      <c r="B599" s="20" t="n"/>
      <c r="C599" s="21" t="n"/>
      <c r="M599" s="20" t="n"/>
    </row>
    <row r="600">
      <c r="A600">
        <f>IF(G600="","",ROW()-1)</f>
        <v/>
      </c>
      <c r="B600" s="20" t="n"/>
      <c r="C600" s="21" t="n"/>
      <c r="M600" s="20" t="n"/>
    </row>
    <row r="601">
      <c r="A601">
        <f>IF(G601="","",ROW()-1)</f>
        <v/>
      </c>
      <c r="B601" s="20" t="n"/>
      <c r="C601" s="21" t="n"/>
      <c r="M601" s="20" t="n"/>
    </row>
    <row r="602">
      <c r="A602">
        <f>IF(G602="","",ROW()-1)</f>
        <v/>
      </c>
      <c r="B602" s="20" t="n"/>
      <c r="C602" s="21" t="n"/>
      <c r="M602" s="20" t="n"/>
    </row>
    <row r="603">
      <c r="A603">
        <f>IF(G603="","",ROW()-1)</f>
        <v/>
      </c>
      <c r="B603" s="20" t="n"/>
      <c r="C603" s="21" t="n"/>
      <c r="M603" s="20" t="n"/>
    </row>
    <row r="604">
      <c r="A604">
        <f>IF(G604="","",ROW()-1)</f>
        <v/>
      </c>
      <c r="B604" s="20" t="n"/>
      <c r="C604" s="21" t="n"/>
      <c r="M604" s="20" t="n"/>
    </row>
    <row r="605">
      <c r="A605">
        <f>IF(G605="","",ROW()-1)</f>
        <v/>
      </c>
      <c r="B605" s="20" t="n"/>
      <c r="C605" s="21" t="n"/>
      <c r="M605" s="20" t="n"/>
    </row>
    <row r="606">
      <c r="A606">
        <f>IF(G606="","",ROW()-1)</f>
        <v/>
      </c>
      <c r="B606" s="20" t="n"/>
      <c r="C606" s="21" t="n"/>
      <c r="M606" s="20" t="n"/>
    </row>
    <row r="607">
      <c r="A607">
        <f>IF(G607="","",ROW()-1)</f>
        <v/>
      </c>
      <c r="B607" s="20" t="n"/>
      <c r="C607" s="21" t="n"/>
      <c r="M607" s="20" t="n"/>
    </row>
    <row r="608">
      <c r="A608">
        <f>IF(G608="","",ROW()-1)</f>
        <v/>
      </c>
      <c r="B608" s="20" t="n"/>
      <c r="C608" s="21" t="n"/>
      <c r="M608" s="20" t="n"/>
    </row>
    <row r="609">
      <c r="A609">
        <f>IF(G609="","",ROW()-1)</f>
        <v/>
      </c>
      <c r="B609" s="20" t="n"/>
      <c r="C609" s="21" t="n"/>
      <c r="M609" s="20" t="n"/>
    </row>
    <row r="610">
      <c r="A610">
        <f>IF(G610="","",ROW()-1)</f>
        <v/>
      </c>
      <c r="B610" s="20" t="n"/>
      <c r="C610" s="21" t="n"/>
      <c r="M610" s="20" t="n"/>
    </row>
    <row r="611">
      <c r="A611">
        <f>IF(G611="","",ROW()-1)</f>
        <v/>
      </c>
      <c r="B611" s="20" t="n"/>
      <c r="C611" s="21" t="n"/>
      <c r="M611" s="20" t="n"/>
    </row>
    <row r="612">
      <c r="A612">
        <f>IF(G612="","",ROW()-1)</f>
        <v/>
      </c>
      <c r="B612" s="20" t="n"/>
      <c r="C612" s="21" t="n"/>
      <c r="M612" s="20" t="n"/>
    </row>
    <row r="613">
      <c r="A613">
        <f>IF(G613="","",ROW()-1)</f>
        <v/>
      </c>
      <c r="B613" s="20" t="n"/>
      <c r="C613" s="21" t="n"/>
      <c r="M613" s="20" t="n"/>
    </row>
    <row r="614">
      <c r="A614">
        <f>IF(G614="","",ROW()-1)</f>
        <v/>
      </c>
      <c r="B614" s="20" t="n"/>
      <c r="C614" s="21" t="n"/>
      <c r="M614" s="20" t="n"/>
    </row>
    <row r="615">
      <c r="A615">
        <f>IF(G615="","",ROW()-1)</f>
        <v/>
      </c>
      <c r="B615" s="20" t="n"/>
      <c r="C615" s="21" t="n"/>
      <c r="M615" s="20" t="n"/>
    </row>
    <row r="616">
      <c r="A616">
        <f>IF(G616="","",ROW()-1)</f>
        <v/>
      </c>
      <c r="B616" s="20" t="n"/>
      <c r="C616" s="21" t="n"/>
      <c r="M616" s="20" t="n"/>
    </row>
    <row r="617">
      <c r="A617">
        <f>IF(G617="","",ROW()-1)</f>
        <v/>
      </c>
      <c r="B617" s="20" t="n"/>
      <c r="C617" s="21" t="n"/>
      <c r="M617" s="20" t="n"/>
    </row>
    <row r="618">
      <c r="A618">
        <f>IF(G618="","",ROW()-1)</f>
        <v/>
      </c>
      <c r="B618" s="20" t="n"/>
      <c r="C618" s="21" t="n"/>
      <c r="M618" s="20" t="n"/>
    </row>
    <row r="619">
      <c r="A619">
        <f>IF(G619="","",ROW()-1)</f>
        <v/>
      </c>
      <c r="B619" s="20" t="n"/>
      <c r="C619" s="21" t="n"/>
      <c r="M619" s="20" t="n"/>
    </row>
    <row r="620">
      <c r="A620">
        <f>IF(G620="","",ROW()-1)</f>
        <v/>
      </c>
      <c r="B620" s="20" t="n"/>
      <c r="C620" s="21" t="n"/>
      <c r="M620" s="20" t="n"/>
    </row>
    <row r="621">
      <c r="A621">
        <f>IF(G621="","",ROW()-1)</f>
        <v/>
      </c>
      <c r="B621" s="20" t="n"/>
      <c r="C621" s="21" t="n"/>
      <c r="M621" s="20" t="n"/>
    </row>
    <row r="622">
      <c r="A622">
        <f>IF(G622="","",ROW()-1)</f>
        <v/>
      </c>
      <c r="B622" s="20" t="n"/>
      <c r="C622" s="21" t="n"/>
      <c r="M622" s="20" t="n"/>
    </row>
    <row r="623">
      <c r="A623">
        <f>IF(G623="","",ROW()-1)</f>
        <v/>
      </c>
      <c r="B623" s="20" t="n"/>
      <c r="C623" s="21" t="n"/>
      <c r="M623" s="20" t="n"/>
    </row>
    <row r="624">
      <c r="A624">
        <f>IF(G624="","",ROW()-1)</f>
        <v/>
      </c>
      <c r="B624" s="20" t="n"/>
      <c r="C624" s="21" t="n"/>
      <c r="M624" s="20" t="n"/>
    </row>
    <row r="625">
      <c r="A625">
        <f>IF(G625="","",ROW()-1)</f>
        <v/>
      </c>
      <c r="B625" s="20" t="n"/>
      <c r="C625" s="21" t="n"/>
      <c r="M625" s="20" t="n"/>
    </row>
    <row r="626">
      <c r="A626">
        <f>IF(G626="","",ROW()-1)</f>
        <v/>
      </c>
      <c r="B626" s="20" t="n"/>
      <c r="C626" s="21" t="n"/>
      <c r="M626" s="20" t="n"/>
    </row>
    <row r="627">
      <c r="A627">
        <f>IF(G627="","",ROW()-1)</f>
        <v/>
      </c>
      <c r="B627" s="20" t="n"/>
      <c r="C627" s="21" t="n"/>
      <c r="M627" s="20" t="n"/>
    </row>
    <row r="628">
      <c r="A628">
        <f>IF(G628="","",ROW()-1)</f>
        <v/>
      </c>
      <c r="B628" s="20" t="n"/>
      <c r="C628" s="21" t="n"/>
      <c r="M628" s="20" t="n"/>
    </row>
    <row r="629">
      <c r="A629">
        <f>IF(G629="","",ROW()-1)</f>
        <v/>
      </c>
      <c r="B629" s="20" t="n"/>
      <c r="C629" s="21" t="n"/>
      <c r="M629" s="20" t="n"/>
    </row>
    <row r="630">
      <c r="A630">
        <f>IF(G630="","",ROW()-1)</f>
        <v/>
      </c>
      <c r="B630" s="20" t="n"/>
      <c r="C630" s="21" t="n"/>
      <c r="M630" s="20" t="n"/>
    </row>
    <row r="631">
      <c r="A631">
        <f>IF(G631="","",ROW()-1)</f>
        <v/>
      </c>
      <c r="B631" s="20" t="n"/>
      <c r="C631" s="21" t="n"/>
      <c r="M631" s="20" t="n"/>
    </row>
    <row r="632">
      <c r="A632">
        <f>IF(G632="","",ROW()-1)</f>
        <v/>
      </c>
      <c r="B632" s="20" t="n"/>
      <c r="C632" s="21" t="n"/>
      <c r="M632" s="20" t="n"/>
    </row>
    <row r="633">
      <c r="A633">
        <f>IF(G633="","",ROW()-1)</f>
        <v/>
      </c>
      <c r="B633" s="20" t="n"/>
      <c r="C633" s="21" t="n"/>
      <c r="M633" s="20" t="n"/>
    </row>
    <row r="634">
      <c r="A634">
        <f>IF(G634="","",ROW()-1)</f>
        <v/>
      </c>
      <c r="B634" s="20" t="n"/>
      <c r="C634" s="21" t="n"/>
      <c r="M634" s="20" t="n"/>
    </row>
    <row r="635">
      <c r="A635">
        <f>IF(G635="","",ROW()-1)</f>
        <v/>
      </c>
      <c r="B635" s="20" t="n"/>
      <c r="C635" s="21" t="n"/>
      <c r="M635" s="20" t="n"/>
    </row>
    <row r="636">
      <c r="A636">
        <f>IF(G636="","",ROW()-1)</f>
        <v/>
      </c>
      <c r="B636" s="20" t="n"/>
      <c r="C636" s="21" t="n"/>
      <c r="M636" s="20" t="n"/>
    </row>
    <row r="637">
      <c r="A637">
        <f>IF(G637="","",ROW()-1)</f>
        <v/>
      </c>
      <c r="B637" s="20" t="n"/>
      <c r="C637" s="21" t="n"/>
      <c r="M637" s="20" t="n"/>
    </row>
    <row r="638">
      <c r="A638">
        <f>IF(G638="","",ROW()-1)</f>
        <v/>
      </c>
      <c r="B638" s="20" t="n"/>
      <c r="C638" s="21" t="n"/>
      <c r="M638" s="20" t="n"/>
    </row>
    <row r="639">
      <c r="A639">
        <f>IF(G639="","",ROW()-1)</f>
        <v/>
      </c>
      <c r="B639" s="20" t="n"/>
      <c r="C639" s="21" t="n"/>
      <c r="M639" s="20" t="n"/>
    </row>
    <row r="640">
      <c r="A640">
        <f>IF(G640="","",ROW()-1)</f>
        <v/>
      </c>
      <c r="B640" s="20" t="n"/>
      <c r="C640" s="21" t="n"/>
      <c r="M640" s="20" t="n"/>
    </row>
    <row r="641">
      <c r="A641">
        <f>IF(G641="","",ROW()-1)</f>
        <v/>
      </c>
      <c r="B641" s="20" t="n"/>
      <c r="C641" s="21" t="n"/>
      <c r="M641" s="20" t="n"/>
    </row>
    <row r="642">
      <c r="A642">
        <f>IF(G642="","",ROW()-1)</f>
        <v/>
      </c>
      <c r="B642" s="20" t="n"/>
      <c r="C642" s="21" t="n"/>
      <c r="M642" s="20" t="n"/>
    </row>
    <row r="643">
      <c r="A643">
        <f>IF(G643="","",ROW()-1)</f>
        <v/>
      </c>
      <c r="B643" s="20" t="n"/>
      <c r="C643" s="21" t="n"/>
      <c r="M643" s="20" t="n"/>
    </row>
    <row r="644">
      <c r="A644">
        <f>IF(G644="","",ROW()-1)</f>
        <v/>
      </c>
      <c r="B644" s="20" t="n"/>
      <c r="C644" s="21" t="n"/>
      <c r="M644" s="20" t="n"/>
    </row>
    <row r="645">
      <c r="A645">
        <f>IF(G645="","",ROW()-1)</f>
        <v/>
      </c>
      <c r="B645" s="20" t="n"/>
      <c r="C645" s="21" t="n"/>
      <c r="M645" s="20" t="n"/>
    </row>
    <row r="646">
      <c r="A646">
        <f>IF(G646="","",ROW()-1)</f>
        <v/>
      </c>
      <c r="B646" s="20" t="n"/>
      <c r="C646" s="21" t="n"/>
      <c r="M646" s="20" t="n"/>
    </row>
    <row r="647">
      <c r="A647">
        <f>IF(G647="","",ROW()-1)</f>
        <v/>
      </c>
      <c r="B647" s="20" t="n"/>
      <c r="C647" s="21" t="n"/>
      <c r="M647" s="20" t="n"/>
    </row>
    <row r="648">
      <c r="A648">
        <f>IF(G648="","",ROW()-1)</f>
        <v/>
      </c>
      <c r="B648" s="20" t="n"/>
      <c r="C648" s="21" t="n"/>
      <c r="M648" s="20" t="n"/>
    </row>
    <row r="649">
      <c r="A649">
        <f>IF(G649="","",ROW()-1)</f>
        <v/>
      </c>
      <c r="B649" s="20" t="n"/>
      <c r="C649" s="21" t="n"/>
      <c r="M649" s="20" t="n"/>
    </row>
    <row r="650">
      <c r="A650">
        <f>IF(G650="","",ROW()-1)</f>
        <v/>
      </c>
      <c r="B650" s="20" t="n"/>
      <c r="C650" s="21" t="n"/>
      <c r="M650" s="20" t="n"/>
    </row>
    <row r="651">
      <c r="A651">
        <f>IF(G651="","",ROW()-1)</f>
        <v/>
      </c>
      <c r="B651" s="20" t="n"/>
      <c r="C651" s="21" t="n"/>
      <c r="M651" s="20" t="n"/>
    </row>
    <row r="652">
      <c r="A652">
        <f>IF(G652="","",ROW()-1)</f>
        <v/>
      </c>
      <c r="B652" s="20" t="n"/>
      <c r="C652" s="21" t="n"/>
      <c r="M652" s="20" t="n"/>
    </row>
    <row r="653">
      <c r="A653">
        <f>IF(G653="","",ROW()-1)</f>
        <v/>
      </c>
      <c r="B653" s="20" t="n"/>
      <c r="C653" s="21" t="n"/>
      <c r="M653" s="20" t="n"/>
    </row>
    <row r="654">
      <c r="A654">
        <f>IF(G654="","",ROW()-1)</f>
        <v/>
      </c>
      <c r="B654" s="20" t="n"/>
      <c r="C654" s="21" t="n"/>
      <c r="M654" s="20" t="n"/>
    </row>
    <row r="655">
      <c r="A655">
        <f>IF(G655="","",ROW()-1)</f>
        <v/>
      </c>
      <c r="B655" s="20" t="n"/>
      <c r="C655" s="21" t="n"/>
      <c r="M655" s="20" t="n"/>
    </row>
    <row r="656">
      <c r="A656">
        <f>IF(G656="","",ROW()-1)</f>
        <v/>
      </c>
      <c r="B656" s="20" t="n"/>
      <c r="C656" s="21" t="n"/>
      <c r="M656" s="20" t="n"/>
    </row>
    <row r="657">
      <c r="A657">
        <f>IF(G657="","",ROW()-1)</f>
        <v/>
      </c>
      <c r="B657" s="20" t="n"/>
      <c r="C657" s="21" t="n"/>
      <c r="M657" s="20" t="n"/>
    </row>
    <row r="658">
      <c r="A658">
        <f>IF(G658="","",ROW()-1)</f>
        <v/>
      </c>
      <c r="B658" s="20" t="n"/>
      <c r="C658" s="21" t="n"/>
      <c r="M658" s="20" t="n"/>
    </row>
    <row r="659">
      <c r="A659">
        <f>IF(G659="","",ROW()-1)</f>
        <v/>
      </c>
      <c r="B659" s="20" t="n"/>
      <c r="C659" s="21" t="n"/>
      <c r="M659" s="20" t="n"/>
    </row>
    <row r="660">
      <c r="A660">
        <f>IF(G660="","",ROW()-1)</f>
        <v/>
      </c>
      <c r="B660" s="20" t="n"/>
      <c r="C660" s="21" t="n"/>
      <c r="M660" s="20" t="n"/>
    </row>
    <row r="661">
      <c r="A661">
        <f>IF(G661="","",ROW()-1)</f>
        <v/>
      </c>
      <c r="B661" s="20" t="n"/>
      <c r="C661" s="21" t="n"/>
      <c r="M661" s="20" t="n"/>
    </row>
    <row r="662">
      <c r="A662">
        <f>IF(G662="","",ROW()-1)</f>
        <v/>
      </c>
      <c r="B662" s="20" t="n"/>
      <c r="C662" s="21" t="n"/>
      <c r="M662" s="20" t="n"/>
    </row>
    <row r="663">
      <c r="A663">
        <f>IF(G663="","",ROW()-1)</f>
        <v/>
      </c>
      <c r="B663" s="20" t="n"/>
      <c r="C663" s="21" t="n"/>
      <c r="M663" s="20" t="n"/>
    </row>
    <row r="664">
      <c r="A664">
        <f>IF(G664="","",ROW()-1)</f>
        <v/>
      </c>
      <c r="B664" s="20" t="n"/>
      <c r="C664" s="21" t="n"/>
      <c r="M664" s="20" t="n"/>
    </row>
    <row r="665">
      <c r="A665">
        <f>IF(G665="","",ROW()-1)</f>
        <v/>
      </c>
      <c r="B665" s="20" t="n"/>
      <c r="C665" s="21" t="n"/>
      <c r="M665" s="20" t="n"/>
    </row>
    <row r="666">
      <c r="A666">
        <f>IF(G666="","",ROW()-1)</f>
        <v/>
      </c>
      <c r="B666" s="20" t="n"/>
      <c r="C666" s="21" t="n"/>
      <c r="M666" s="20" t="n"/>
    </row>
    <row r="667">
      <c r="A667">
        <f>IF(G667="","",ROW()-1)</f>
        <v/>
      </c>
      <c r="B667" s="20" t="n"/>
      <c r="C667" s="21" t="n"/>
      <c r="M667" s="20" t="n"/>
    </row>
    <row r="668">
      <c r="A668">
        <f>IF(G668="","",ROW()-1)</f>
        <v/>
      </c>
      <c r="B668" s="20" t="n"/>
      <c r="C668" s="21" t="n"/>
      <c r="M668" s="20" t="n"/>
    </row>
    <row r="669">
      <c r="A669">
        <f>IF(G669="","",ROW()-1)</f>
        <v/>
      </c>
      <c r="B669" s="20" t="n"/>
      <c r="C669" s="21" t="n"/>
      <c r="M669" s="20" t="n"/>
    </row>
    <row r="670">
      <c r="A670">
        <f>IF(G670="","",ROW()-1)</f>
        <v/>
      </c>
      <c r="B670" s="20" t="n"/>
      <c r="C670" s="21" t="n"/>
      <c r="M670" s="20" t="n"/>
    </row>
    <row r="671">
      <c r="A671">
        <f>IF(G671="","",ROW()-1)</f>
        <v/>
      </c>
      <c r="B671" s="20" t="n"/>
      <c r="C671" s="21" t="n"/>
      <c r="M671" s="20" t="n"/>
    </row>
    <row r="672">
      <c r="A672">
        <f>IF(G672="","",ROW()-1)</f>
        <v/>
      </c>
      <c r="B672" s="20" t="n"/>
      <c r="C672" s="21" t="n"/>
      <c r="M672" s="20" t="n"/>
    </row>
    <row r="673">
      <c r="A673">
        <f>IF(G673="","",ROW()-1)</f>
        <v/>
      </c>
      <c r="B673" s="20" t="n"/>
      <c r="C673" s="21" t="n"/>
      <c r="M673" s="20" t="n"/>
    </row>
    <row r="674">
      <c r="A674">
        <f>IF(G674="","",ROW()-1)</f>
        <v/>
      </c>
      <c r="B674" s="20" t="n"/>
      <c r="C674" s="21" t="n"/>
      <c r="M674" s="20" t="n"/>
    </row>
    <row r="675">
      <c r="A675">
        <f>IF(G675="","",ROW()-1)</f>
        <v/>
      </c>
      <c r="B675" s="20" t="n"/>
      <c r="C675" s="21" t="n"/>
      <c r="M675" s="20" t="n"/>
    </row>
    <row r="676">
      <c r="A676">
        <f>IF(G676="","",ROW()-1)</f>
        <v/>
      </c>
      <c r="B676" s="20" t="n"/>
      <c r="C676" s="21" t="n"/>
      <c r="M676" s="20" t="n"/>
    </row>
    <row r="677">
      <c r="A677">
        <f>IF(G677="","",ROW()-1)</f>
        <v/>
      </c>
      <c r="B677" s="20" t="n"/>
      <c r="C677" s="21" t="n"/>
      <c r="M677" s="20" t="n"/>
    </row>
    <row r="678">
      <c r="A678">
        <f>IF(G678="","",ROW()-1)</f>
        <v/>
      </c>
      <c r="B678" s="20" t="n"/>
      <c r="C678" s="21" t="n"/>
      <c r="M678" s="20" t="n"/>
    </row>
    <row r="679">
      <c r="A679">
        <f>IF(G679="","",ROW()-1)</f>
        <v/>
      </c>
      <c r="B679" s="20" t="n"/>
      <c r="C679" s="21" t="n"/>
      <c r="M679" s="20" t="n"/>
    </row>
    <row r="680">
      <c r="A680">
        <f>IF(G680="","",ROW()-1)</f>
        <v/>
      </c>
      <c r="B680" s="20" t="n"/>
      <c r="C680" s="21" t="n"/>
      <c r="M680" s="20" t="n"/>
    </row>
    <row r="681">
      <c r="A681">
        <f>IF(G681="","",ROW()-1)</f>
        <v/>
      </c>
      <c r="B681" s="20" t="n"/>
      <c r="C681" s="21" t="n"/>
      <c r="M681" s="20" t="n"/>
    </row>
    <row r="682">
      <c r="A682">
        <f>IF(G682="","",ROW()-1)</f>
        <v/>
      </c>
      <c r="B682" s="20" t="n"/>
      <c r="C682" s="21" t="n"/>
      <c r="M682" s="20" t="n"/>
    </row>
    <row r="683">
      <c r="A683">
        <f>IF(G683="","",ROW()-1)</f>
        <v/>
      </c>
      <c r="B683" s="20" t="n"/>
      <c r="C683" s="21" t="n"/>
      <c r="M683" s="20" t="n"/>
    </row>
    <row r="684">
      <c r="A684">
        <f>IF(G684="","",ROW()-1)</f>
        <v/>
      </c>
      <c r="B684" s="20" t="n"/>
      <c r="C684" s="21" t="n"/>
      <c r="M684" s="20" t="n"/>
    </row>
    <row r="685">
      <c r="A685">
        <f>IF(G685="","",ROW()-1)</f>
        <v/>
      </c>
      <c r="B685" s="20" t="n"/>
      <c r="C685" s="21" t="n"/>
      <c r="M685" s="20" t="n"/>
    </row>
    <row r="686">
      <c r="A686">
        <f>IF(G686="","",ROW()-1)</f>
        <v/>
      </c>
      <c r="B686" s="20" t="n"/>
      <c r="C686" s="21" t="n"/>
      <c r="M686" s="20" t="n"/>
    </row>
    <row r="687">
      <c r="A687">
        <f>IF(G687="","",ROW()-1)</f>
        <v/>
      </c>
      <c r="B687" s="20" t="n"/>
      <c r="C687" s="21" t="n"/>
      <c r="M687" s="20" t="n"/>
    </row>
    <row r="688">
      <c r="A688">
        <f>IF(G688="","",ROW()-1)</f>
        <v/>
      </c>
      <c r="B688" s="20" t="n"/>
      <c r="C688" s="21" t="n"/>
      <c r="M688" s="20" t="n"/>
    </row>
    <row r="689">
      <c r="A689">
        <f>IF(G689="","",ROW()-1)</f>
        <v/>
      </c>
      <c r="B689" s="20" t="n"/>
      <c r="C689" s="21" t="n"/>
      <c r="M689" s="20" t="n"/>
    </row>
    <row r="690">
      <c r="A690">
        <f>IF(G690="","",ROW()-1)</f>
        <v/>
      </c>
      <c r="B690" s="20" t="n"/>
      <c r="C690" s="21" t="n"/>
      <c r="M690" s="20" t="n"/>
    </row>
    <row r="691">
      <c r="A691">
        <f>IF(G691="","",ROW()-1)</f>
        <v/>
      </c>
      <c r="B691" s="20" t="n"/>
      <c r="C691" s="21" t="n"/>
      <c r="M691" s="20" t="n"/>
    </row>
    <row r="692">
      <c r="A692">
        <f>IF(G692="","",ROW()-1)</f>
        <v/>
      </c>
      <c r="B692" s="20" t="n"/>
      <c r="C692" s="21" t="n"/>
      <c r="M692" s="20" t="n"/>
    </row>
    <row r="693">
      <c r="A693">
        <f>IF(G693="","",ROW()-1)</f>
        <v/>
      </c>
      <c r="B693" s="20" t="n"/>
      <c r="C693" s="21" t="n"/>
      <c r="M693" s="20" t="n"/>
    </row>
    <row r="694">
      <c r="A694">
        <f>IF(G694="","",ROW()-1)</f>
        <v/>
      </c>
      <c r="B694" s="20" t="n"/>
      <c r="C694" s="21" t="n"/>
      <c r="M694" s="20" t="n"/>
    </row>
    <row r="695">
      <c r="A695">
        <f>IF(G695="","",ROW()-1)</f>
        <v/>
      </c>
      <c r="B695" s="20" t="n"/>
      <c r="C695" s="21" t="n"/>
      <c r="M695" s="20" t="n"/>
    </row>
    <row r="696">
      <c r="A696">
        <f>IF(G696="","",ROW()-1)</f>
        <v/>
      </c>
      <c r="B696" s="20" t="n"/>
      <c r="C696" s="21" t="n"/>
      <c r="M696" s="20" t="n"/>
    </row>
    <row r="697">
      <c r="A697">
        <f>IF(G697="","",ROW()-1)</f>
        <v/>
      </c>
      <c r="B697" s="20" t="n"/>
      <c r="C697" s="21" t="n"/>
      <c r="M697" s="20" t="n"/>
    </row>
    <row r="698">
      <c r="A698">
        <f>IF(G698="","",ROW()-1)</f>
        <v/>
      </c>
      <c r="B698" s="20" t="n"/>
      <c r="C698" s="21" t="n"/>
      <c r="M698" s="20" t="n"/>
    </row>
    <row r="699">
      <c r="A699">
        <f>IF(G699="","",ROW()-1)</f>
        <v/>
      </c>
      <c r="B699" s="20" t="n"/>
      <c r="C699" s="21" t="n"/>
      <c r="M699" s="20" t="n"/>
    </row>
    <row r="700">
      <c r="A700">
        <f>IF(G700="","",ROW()-1)</f>
        <v/>
      </c>
      <c r="B700" s="20" t="n"/>
      <c r="C700" s="21" t="n"/>
      <c r="M700" s="20" t="n"/>
    </row>
    <row r="701">
      <c r="A701">
        <f>IF(G701="","",ROW()-1)</f>
        <v/>
      </c>
      <c r="B701" s="20" t="n"/>
      <c r="C701" s="21" t="n"/>
      <c r="M701" s="20" t="n"/>
    </row>
    <row r="702">
      <c r="A702">
        <f>IF(G702="","",ROW()-1)</f>
        <v/>
      </c>
      <c r="B702" s="20" t="n"/>
      <c r="C702" s="21" t="n"/>
      <c r="M702" s="20" t="n"/>
    </row>
    <row r="703">
      <c r="A703">
        <f>IF(G703="","",ROW()-1)</f>
        <v/>
      </c>
      <c r="B703" s="20" t="n"/>
      <c r="C703" s="21" t="n"/>
      <c r="M703" s="20" t="n"/>
    </row>
    <row r="704">
      <c r="A704">
        <f>IF(G704="","",ROW()-1)</f>
        <v/>
      </c>
      <c r="B704" s="20" t="n"/>
      <c r="C704" s="21" t="n"/>
      <c r="M704" s="20" t="n"/>
    </row>
    <row r="705">
      <c r="A705">
        <f>IF(G705="","",ROW()-1)</f>
        <v/>
      </c>
      <c r="B705" s="20" t="n"/>
      <c r="C705" s="21" t="n"/>
      <c r="M705" s="20" t="n"/>
    </row>
    <row r="706">
      <c r="A706">
        <f>IF(G706="","",ROW()-1)</f>
        <v/>
      </c>
      <c r="B706" s="20" t="n"/>
      <c r="C706" s="21" t="n"/>
      <c r="M706" s="20" t="n"/>
    </row>
    <row r="707">
      <c r="A707">
        <f>IF(G707="","",ROW()-1)</f>
        <v/>
      </c>
      <c r="B707" s="20" t="n"/>
      <c r="C707" s="21" t="n"/>
      <c r="M707" s="20" t="n"/>
    </row>
    <row r="708">
      <c r="A708">
        <f>IF(G708="","",ROW()-1)</f>
        <v/>
      </c>
      <c r="B708" s="20" t="n"/>
      <c r="C708" s="21" t="n"/>
      <c r="M708" s="20" t="n"/>
    </row>
    <row r="709">
      <c r="A709">
        <f>IF(G709="","",ROW()-1)</f>
        <v/>
      </c>
      <c r="B709" s="20" t="n"/>
      <c r="C709" s="21" t="n"/>
      <c r="M709" s="20" t="n"/>
    </row>
    <row r="710">
      <c r="A710">
        <f>IF(G710="","",ROW()-1)</f>
        <v/>
      </c>
      <c r="B710" s="20" t="n"/>
      <c r="C710" s="21" t="n"/>
      <c r="M710" s="20" t="n"/>
    </row>
    <row r="711">
      <c r="A711">
        <f>IF(G711="","",ROW()-1)</f>
        <v/>
      </c>
      <c r="B711" s="20" t="n"/>
      <c r="C711" s="21" t="n"/>
      <c r="M711" s="20" t="n"/>
    </row>
    <row r="712">
      <c r="A712">
        <f>IF(G712="","",ROW()-1)</f>
        <v/>
      </c>
      <c r="B712" s="20" t="n"/>
      <c r="C712" s="21" t="n"/>
      <c r="M712" s="20" t="n"/>
    </row>
    <row r="713">
      <c r="A713">
        <f>IF(G713="","",ROW()-1)</f>
        <v/>
      </c>
      <c r="B713" s="20" t="n"/>
      <c r="C713" s="21" t="n"/>
      <c r="M713" s="20" t="n"/>
    </row>
    <row r="714">
      <c r="A714">
        <f>IF(G714="","",ROW()-1)</f>
        <v/>
      </c>
      <c r="B714" s="20" t="n"/>
      <c r="C714" s="21" t="n"/>
      <c r="M714" s="20" t="n"/>
    </row>
    <row r="715">
      <c r="A715">
        <f>IF(G715="","",ROW()-1)</f>
        <v/>
      </c>
      <c r="B715" s="20" t="n"/>
      <c r="C715" s="21" t="n"/>
      <c r="M715" s="20" t="n"/>
    </row>
    <row r="716">
      <c r="A716">
        <f>IF(G716="","",ROW()-1)</f>
        <v/>
      </c>
      <c r="B716" s="20" t="n"/>
      <c r="C716" s="21" t="n"/>
      <c r="M716" s="20" t="n"/>
    </row>
    <row r="717">
      <c r="A717">
        <f>IF(G717="","",ROW()-1)</f>
        <v/>
      </c>
      <c r="B717" s="20" t="n"/>
      <c r="C717" s="21" t="n"/>
      <c r="M717" s="20" t="n"/>
    </row>
    <row r="718">
      <c r="A718">
        <f>IF(G718="","",ROW()-1)</f>
        <v/>
      </c>
      <c r="B718" s="20" t="n"/>
      <c r="C718" s="21" t="n"/>
      <c r="M718" s="20" t="n"/>
    </row>
    <row r="719">
      <c r="A719">
        <f>IF(G719="","",ROW()-1)</f>
        <v/>
      </c>
      <c r="B719" s="20" t="n"/>
      <c r="C719" s="21" t="n"/>
      <c r="M719" s="20" t="n"/>
    </row>
    <row r="720">
      <c r="A720">
        <f>IF(G720="","",ROW()-1)</f>
        <v/>
      </c>
      <c r="B720" s="20" t="n"/>
      <c r="C720" s="21" t="n"/>
      <c r="M720" s="20" t="n"/>
    </row>
    <row r="721">
      <c r="A721">
        <f>IF(G721="","",ROW()-1)</f>
        <v/>
      </c>
      <c r="B721" s="20" t="n"/>
      <c r="C721" s="21" t="n"/>
      <c r="M721" s="20" t="n"/>
    </row>
    <row r="722">
      <c r="A722">
        <f>IF(G722="","",ROW()-1)</f>
        <v/>
      </c>
      <c r="B722" s="20" t="n"/>
      <c r="C722" s="21" t="n"/>
      <c r="M722" s="20" t="n"/>
    </row>
    <row r="723">
      <c r="A723">
        <f>IF(G723="","",ROW()-1)</f>
        <v/>
      </c>
      <c r="B723" s="20" t="n"/>
      <c r="C723" s="21" t="n"/>
      <c r="M723" s="20" t="n"/>
    </row>
    <row r="724">
      <c r="A724">
        <f>IF(G724="","",ROW()-1)</f>
        <v/>
      </c>
      <c r="B724" s="20" t="n"/>
      <c r="C724" s="21" t="n"/>
      <c r="M724" s="20" t="n"/>
    </row>
    <row r="725">
      <c r="A725">
        <f>IF(G725="","",ROW()-1)</f>
        <v/>
      </c>
      <c r="B725" s="20" t="n"/>
      <c r="C725" s="21" t="n"/>
      <c r="M725" s="20" t="n"/>
    </row>
    <row r="726">
      <c r="A726">
        <f>IF(G726="","",ROW()-1)</f>
        <v/>
      </c>
      <c r="B726" s="20" t="n"/>
      <c r="C726" s="21" t="n"/>
      <c r="M726" s="20" t="n"/>
    </row>
    <row r="727">
      <c r="A727">
        <f>IF(G727="","",ROW()-1)</f>
        <v/>
      </c>
      <c r="B727" s="20" t="n"/>
      <c r="C727" s="21" t="n"/>
      <c r="M727" s="20" t="n"/>
    </row>
    <row r="728">
      <c r="A728">
        <f>IF(G728="","",ROW()-1)</f>
        <v/>
      </c>
      <c r="B728" s="20" t="n"/>
      <c r="C728" s="21" t="n"/>
      <c r="M728" s="20" t="n"/>
    </row>
    <row r="729">
      <c r="A729">
        <f>IF(G729="","",ROW()-1)</f>
        <v/>
      </c>
      <c r="B729" s="20" t="n"/>
      <c r="C729" s="21" t="n"/>
      <c r="M729" s="20" t="n"/>
    </row>
    <row r="730">
      <c r="A730">
        <f>IF(G730="","",ROW()-1)</f>
        <v/>
      </c>
      <c r="B730" s="20" t="n"/>
      <c r="C730" s="21" t="n"/>
      <c r="M730" s="20" t="n"/>
    </row>
    <row r="731">
      <c r="A731">
        <f>IF(G731="","",ROW()-1)</f>
        <v/>
      </c>
      <c r="B731" s="20" t="n"/>
      <c r="C731" s="21" t="n"/>
      <c r="M731" s="20" t="n"/>
    </row>
    <row r="732">
      <c r="A732">
        <f>IF(G732="","",ROW()-1)</f>
        <v/>
      </c>
      <c r="B732" s="20" t="n"/>
      <c r="C732" s="21" t="n"/>
      <c r="M732" s="20" t="n"/>
    </row>
    <row r="733">
      <c r="A733">
        <f>IF(G733="","",ROW()-1)</f>
        <v/>
      </c>
      <c r="B733" s="20" t="n"/>
      <c r="C733" s="21" t="n"/>
      <c r="M733" s="20" t="n"/>
    </row>
    <row r="734">
      <c r="A734">
        <f>IF(G734="","",ROW()-1)</f>
        <v/>
      </c>
      <c r="B734" s="20" t="n"/>
      <c r="C734" s="21" t="n"/>
      <c r="M734" s="20" t="n"/>
    </row>
    <row r="735">
      <c r="A735">
        <f>IF(G735="","",ROW()-1)</f>
        <v/>
      </c>
      <c r="B735" s="20" t="n"/>
      <c r="C735" s="21" t="n"/>
      <c r="M735" s="20" t="n"/>
    </row>
    <row r="736">
      <c r="A736">
        <f>IF(G736="","",ROW()-1)</f>
        <v/>
      </c>
      <c r="B736" s="20" t="n"/>
      <c r="C736" s="21" t="n"/>
      <c r="M736" s="20" t="n"/>
    </row>
    <row r="737">
      <c r="A737">
        <f>IF(G737="","",ROW()-1)</f>
        <v/>
      </c>
      <c r="B737" s="20" t="n"/>
      <c r="C737" s="21" t="n"/>
      <c r="M737" s="20" t="n"/>
    </row>
    <row r="738">
      <c r="A738">
        <f>IF(G738="","",ROW()-1)</f>
        <v/>
      </c>
      <c r="B738" s="20" t="n"/>
      <c r="C738" s="21" t="n"/>
      <c r="M738" s="20" t="n"/>
    </row>
    <row r="739">
      <c r="A739">
        <f>IF(G739="","",ROW()-1)</f>
        <v/>
      </c>
      <c r="B739" s="20" t="n"/>
      <c r="C739" s="21" t="n"/>
      <c r="M739" s="20" t="n"/>
    </row>
    <row r="740">
      <c r="A740">
        <f>IF(G740="","",ROW()-1)</f>
        <v/>
      </c>
      <c r="B740" s="20" t="n"/>
      <c r="C740" s="21" t="n"/>
      <c r="M740" s="20" t="n"/>
    </row>
    <row r="741">
      <c r="A741">
        <f>IF(G741="","",ROW()-1)</f>
        <v/>
      </c>
      <c r="B741" s="20" t="n"/>
      <c r="C741" s="21" t="n"/>
      <c r="M741" s="20" t="n"/>
    </row>
    <row r="742">
      <c r="A742">
        <f>IF(G742="","",ROW()-1)</f>
        <v/>
      </c>
      <c r="B742" s="20" t="n"/>
      <c r="C742" s="21" t="n"/>
      <c r="M742" s="20" t="n"/>
    </row>
    <row r="743">
      <c r="A743">
        <f>IF(G743="","",ROW()-1)</f>
        <v/>
      </c>
      <c r="B743" s="20" t="n"/>
      <c r="C743" s="21" t="n"/>
      <c r="M743" s="20" t="n"/>
    </row>
    <row r="744">
      <c r="A744">
        <f>IF(G744="","",ROW()-1)</f>
        <v/>
      </c>
      <c r="B744" s="20" t="n"/>
      <c r="C744" s="21" t="n"/>
      <c r="M744" s="20" t="n"/>
    </row>
    <row r="745">
      <c r="A745">
        <f>IF(G745="","",ROW()-1)</f>
        <v/>
      </c>
      <c r="B745" s="20" t="n"/>
      <c r="C745" s="21" t="n"/>
      <c r="M745" s="20" t="n"/>
    </row>
    <row r="746">
      <c r="A746">
        <f>IF(G746="","",ROW()-1)</f>
        <v/>
      </c>
      <c r="B746" s="20" t="n"/>
      <c r="C746" s="21" t="n"/>
      <c r="M746" s="20" t="n"/>
    </row>
    <row r="747">
      <c r="A747">
        <f>IF(G747="","",ROW()-1)</f>
        <v/>
      </c>
      <c r="B747" s="20" t="n"/>
      <c r="C747" s="21" t="n"/>
      <c r="M747" s="20" t="n"/>
    </row>
    <row r="748">
      <c r="A748">
        <f>IF(G748="","",ROW()-1)</f>
        <v/>
      </c>
      <c r="B748" s="20" t="n"/>
      <c r="C748" s="21" t="n"/>
      <c r="M748" s="20" t="n"/>
    </row>
    <row r="749">
      <c r="A749">
        <f>IF(G749="","",ROW()-1)</f>
        <v/>
      </c>
      <c r="B749" s="20" t="n"/>
      <c r="C749" s="21" t="n"/>
      <c r="M749" s="20" t="n"/>
    </row>
    <row r="750">
      <c r="A750">
        <f>IF(G750="","",ROW()-1)</f>
        <v/>
      </c>
      <c r="B750" s="20" t="n"/>
      <c r="C750" s="21" t="n"/>
      <c r="M750" s="20" t="n"/>
    </row>
    <row r="751">
      <c r="A751">
        <f>IF(G751="","",ROW()-1)</f>
        <v/>
      </c>
      <c r="B751" s="20" t="n"/>
      <c r="C751" s="21" t="n"/>
      <c r="M751" s="20" t="n"/>
    </row>
    <row r="752">
      <c r="A752">
        <f>IF(G752="","",ROW()-1)</f>
        <v/>
      </c>
      <c r="B752" s="20" t="n"/>
      <c r="C752" s="21" t="n"/>
      <c r="M752" s="20" t="n"/>
    </row>
    <row r="753">
      <c r="A753">
        <f>IF(G753="","",ROW()-1)</f>
        <v/>
      </c>
      <c r="B753" s="20" t="n"/>
      <c r="C753" s="21" t="n"/>
      <c r="M753" s="20" t="n"/>
    </row>
    <row r="754">
      <c r="A754">
        <f>IF(G754="","",ROW()-1)</f>
        <v/>
      </c>
      <c r="B754" s="20" t="n"/>
      <c r="C754" s="21" t="n"/>
      <c r="M754" s="20" t="n"/>
    </row>
    <row r="755">
      <c r="A755">
        <f>IF(G755="","",ROW()-1)</f>
        <v/>
      </c>
      <c r="B755" s="20" t="n"/>
      <c r="C755" s="21" t="n"/>
      <c r="M755" s="20" t="n"/>
    </row>
    <row r="756">
      <c r="A756">
        <f>IF(G756="","",ROW()-1)</f>
        <v/>
      </c>
      <c r="B756" s="20" t="n"/>
      <c r="C756" s="21" t="n"/>
      <c r="M756" s="20" t="n"/>
    </row>
    <row r="757">
      <c r="A757">
        <f>IF(G757="","",ROW()-1)</f>
        <v/>
      </c>
      <c r="B757" s="20" t="n"/>
      <c r="C757" s="21" t="n"/>
      <c r="M757" s="20" t="n"/>
    </row>
    <row r="758">
      <c r="A758">
        <f>IF(G758="","",ROW()-1)</f>
        <v/>
      </c>
      <c r="B758" s="20" t="n"/>
      <c r="C758" s="21" t="n"/>
      <c r="M758" s="20" t="n"/>
    </row>
    <row r="759">
      <c r="A759">
        <f>IF(G759="","",ROW()-1)</f>
        <v/>
      </c>
      <c r="B759" s="20" t="n"/>
      <c r="C759" s="21" t="n"/>
      <c r="M759" s="20" t="n"/>
    </row>
    <row r="760">
      <c r="A760">
        <f>IF(G760="","",ROW()-1)</f>
        <v/>
      </c>
      <c r="B760" s="20" t="n"/>
      <c r="C760" s="21" t="n"/>
      <c r="M760" s="20" t="n"/>
    </row>
    <row r="761">
      <c r="A761">
        <f>IF(G761="","",ROW()-1)</f>
        <v/>
      </c>
      <c r="B761" s="20" t="n"/>
      <c r="C761" s="21" t="n"/>
      <c r="M761" s="20" t="n"/>
    </row>
    <row r="762">
      <c r="A762">
        <f>IF(G762="","",ROW()-1)</f>
        <v/>
      </c>
      <c r="B762" s="20" t="n"/>
      <c r="C762" s="21" t="n"/>
      <c r="M762" s="20" t="n"/>
    </row>
    <row r="763">
      <c r="A763">
        <f>IF(G763="","",ROW()-1)</f>
        <v/>
      </c>
      <c r="B763" s="20" t="n"/>
      <c r="C763" s="21" t="n"/>
      <c r="M763" s="20" t="n"/>
    </row>
    <row r="764">
      <c r="A764">
        <f>IF(G764="","",ROW()-1)</f>
        <v/>
      </c>
      <c r="B764" s="20" t="n"/>
      <c r="C764" s="21" t="n"/>
      <c r="M764" s="20" t="n"/>
    </row>
    <row r="765">
      <c r="A765">
        <f>IF(G765="","",ROW()-1)</f>
        <v/>
      </c>
      <c r="B765" s="20" t="n"/>
      <c r="C765" s="21" t="n"/>
      <c r="M765" s="20" t="n"/>
    </row>
    <row r="766">
      <c r="A766">
        <f>IF(G766="","",ROW()-1)</f>
        <v/>
      </c>
      <c r="B766" s="20" t="n"/>
      <c r="C766" s="21" t="n"/>
      <c r="M766" s="20" t="n"/>
    </row>
    <row r="767">
      <c r="A767">
        <f>IF(G767="","",ROW()-1)</f>
        <v/>
      </c>
      <c r="B767" s="20" t="n"/>
      <c r="C767" s="21" t="n"/>
      <c r="M767" s="20" t="n"/>
    </row>
    <row r="768">
      <c r="A768">
        <f>IF(G768="","",ROW()-1)</f>
        <v/>
      </c>
      <c r="B768" s="20" t="n"/>
      <c r="C768" s="21" t="n"/>
      <c r="M768" s="20" t="n"/>
    </row>
    <row r="769">
      <c r="A769">
        <f>IF(G769="","",ROW()-1)</f>
        <v/>
      </c>
      <c r="B769" s="20" t="n"/>
      <c r="C769" s="21" t="n"/>
      <c r="M769" s="20" t="n"/>
    </row>
    <row r="770">
      <c r="A770">
        <f>IF(G770="","",ROW()-1)</f>
        <v/>
      </c>
      <c r="B770" s="20" t="n"/>
      <c r="C770" s="21" t="n"/>
      <c r="M770" s="20" t="n"/>
    </row>
    <row r="771">
      <c r="A771">
        <f>IF(G771="","",ROW()-1)</f>
        <v/>
      </c>
      <c r="B771" s="20" t="n"/>
      <c r="C771" s="21" t="n"/>
      <c r="M771" s="20" t="n"/>
    </row>
    <row r="772">
      <c r="A772">
        <f>IF(G772="","",ROW()-1)</f>
        <v/>
      </c>
      <c r="B772" s="20" t="n"/>
      <c r="C772" s="21" t="n"/>
      <c r="M772" s="20" t="n"/>
    </row>
    <row r="773">
      <c r="A773">
        <f>IF(G773="","",ROW()-1)</f>
        <v/>
      </c>
      <c r="B773" s="20" t="n"/>
      <c r="C773" s="21" t="n"/>
      <c r="M773" s="20" t="n"/>
    </row>
    <row r="774">
      <c r="A774">
        <f>IF(G774="","",ROW()-1)</f>
        <v/>
      </c>
      <c r="B774" s="20" t="n"/>
      <c r="C774" s="21" t="n"/>
      <c r="M774" s="20" t="n"/>
    </row>
    <row r="775">
      <c r="A775">
        <f>IF(G775="","",ROW()-1)</f>
        <v/>
      </c>
      <c r="B775" s="20" t="n"/>
      <c r="C775" s="21" t="n"/>
      <c r="M775" s="20" t="n"/>
    </row>
    <row r="776">
      <c r="A776">
        <f>IF(G776="","",ROW()-1)</f>
        <v/>
      </c>
      <c r="B776" s="20" t="n"/>
      <c r="C776" s="21" t="n"/>
      <c r="M776" s="20" t="n"/>
    </row>
    <row r="777">
      <c r="A777">
        <f>IF(G777="","",ROW()-1)</f>
        <v/>
      </c>
      <c r="B777" s="20" t="n"/>
      <c r="C777" s="21" t="n"/>
      <c r="M777" s="20" t="n"/>
    </row>
    <row r="778">
      <c r="A778">
        <f>IF(G778="","",ROW()-1)</f>
        <v/>
      </c>
      <c r="B778" s="20" t="n"/>
      <c r="C778" s="21" t="n"/>
      <c r="M778" s="20" t="n"/>
    </row>
    <row r="779">
      <c r="A779">
        <f>IF(G779="","",ROW()-1)</f>
        <v/>
      </c>
      <c r="B779" s="20" t="n"/>
      <c r="C779" s="21" t="n"/>
      <c r="M779" s="20" t="n"/>
    </row>
    <row r="780">
      <c r="A780">
        <f>IF(G780="","",ROW()-1)</f>
        <v/>
      </c>
      <c r="B780" s="20" t="n"/>
      <c r="C780" s="21" t="n"/>
      <c r="M780" s="20" t="n"/>
    </row>
    <row r="781">
      <c r="A781">
        <f>IF(G781="","",ROW()-1)</f>
        <v/>
      </c>
      <c r="B781" s="20" t="n"/>
      <c r="C781" s="21" t="n"/>
      <c r="M781" s="20" t="n"/>
    </row>
    <row r="782">
      <c r="A782">
        <f>IF(G782="","",ROW()-1)</f>
        <v/>
      </c>
      <c r="B782" s="20" t="n"/>
      <c r="C782" s="21" t="n"/>
      <c r="M782" s="20" t="n"/>
    </row>
    <row r="783">
      <c r="A783">
        <f>IF(G783="","",ROW()-1)</f>
        <v/>
      </c>
      <c r="B783" s="20" t="n"/>
      <c r="C783" s="21" t="n"/>
      <c r="M783" s="20" t="n"/>
    </row>
    <row r="784">
      <c r="A784">
        <f>IF(G784="","",ROW()-1)</f>
        <v/>
      </c>
      <c r="B784" s="20" t="n"/>
      <c r="C784" s="21" t="n"/>
      <c r="M784" s="20" t="n"/>
    </row>
    <row r="785">
      <c r="A785">
        <f>IF(G785="","",ROW()-1)</f>
        <v/>
      </c>
      <c r="B785" s="20" t="n"/>
      <c r="C785" s="21" t="n"/>
      <c r="M785" s="20" t="n"/>
    </row>
    <row r="786">
      <c r="A786">
        <f>IF(G786="","",ROW()-1)</f>
        <v/>
      </c>
      <c r="B786" s="20" t="n"/>
      <c r="C786" s="21" t="n"/>
      <c r="M786" s="20" t="n"/>
    </row>
    <row r="787">
      <c r="A787">
        <f>IF(G787="","",ROW()-1)</f>
        <v/>
      </c>
      <c r="B787" s="20" t="n"/>
      <c r="C787" s="21" t="n"/>
      <c r="M787" s="20" t="n"/>
    </row>
    <row r="788">
      <c r="A788">
        <f>IF(G788="","",ROW()-1)</f>
        <v/>
      </c>
      <c r="B788" s="20" t="n"/>
      <c r="C788" s="21" t="n"/>
      <c r="M788" s="20" t="n"/>
    </row>
    <row r="789">
      <c r="A789">
        <f>IF(G789="","",ROW()-1)</f>
        <v/>
      </c>
      <c r="B789" s="20" t="n"/>
      <c r="C789" s="21" t="n"/>
      <c r="M789" s="20" t="n"/>
    </row>
    <row r="790">
      <c r="A790">
        <f>IF(G790="","",ROW()-1)</f>
        <v/>
      </c>
      <c r="B790" s="20" t="n"/>
      <c r="C790" s="21" t="n"/>
      <c r="M790" s="20" t="n"/>
    </row>
    <row r="791">
      <c r="A791">
        <f>IF(G791="","",ROW()-1)</f>
        <v/>
      </c>
      <c r="B791" s="20" t="n"/>
      <c r="C791" s="21" t="n"/>
      <c r="M791" s="20" t="n"/>
    </row>
    <row r="792">
      <c r="A792">
        <f>IF(G792="","",ROW()-1)</f>
        <v/>
      </c>
      <c r="B792" s="20" t="n"/>
      <c r="C792" s="21" t="n"/>
      <c r="M792" s="20" t="n"/>
    </row>
    <row r="793">
      <c r="A793">
        <f>IF(G793="","",ROW()-1)</f>
        <v/>
      </c>
      <c r="B793" s="20" t="n"/>
      <c r="C793" s="21" t="n"/>
      <c r="M793" s="20" t="n"/>
    </row>
    <row r="794">
      <c r="A794">
        <f>IF(G794="","",ROW()-1)</f>
        <v/>
      </c>
      <c r="B794" s="20" t="n"/>
      <c r="C794" s="21" t="n"/>
      <c r="M794" s="20" t="n"/>
    </row>
    <row r="795">
      <c r="A795">
        <f>IF(G795="","",ROW()-1)</f>
        <v/>
      </c>
      <c r="B795" s="20" t="n"/>
      <c r="C795" s="21" t="n"/>
      <c r="M795" s="20" t="n"/>
    </row>
    <row r="796">
      <c r="A796">
        <f>IF(G796="","",ROW()-1)</f>
        <v/>
      </c>
      <c r="B796" s="20" t="n"/>
      <c r="C796" s="21" t="n"/>
      <c r="M796" s="20" t="n"/>
    </row>
    <row r="797">
      <c r="A797">
        <f>IF(G797="","",ROW()-1)</f>
        <v/>
      </c>
      <c r="B797" s="20" t="n"/>
      <c r="C797" s="21" t="n"/>
      <c r="M797" s="20" t="n"/>
    </row>
    <row r="798">
      <c r="A798">
        <f>IF(G798="","",ROW()-1)</f>
        <v/>
      </c>
      <c r="B798" s="20" t="n"/>
      <c r="C798" s="21" t="n"/>
      <c r="M798" s="20" t="n"/>
    </row>
    <row r="799">
      <c r="A799">
        <f>IF(G799="","",ROW()-1)</f>
        <v/>
      </c>
      <c r="B799" s="20" t="n"/>
      <c r="C799" s="21" t="n"/>
      <c r="M799" s="20" t="n"/>
    </row>
    <row r="800">
      <c r="A800">
        <f>IF(G800="","",ROW()-1)</f>
        <v/>
      </c>
      <c r="B800" s="20" t="n"/>
      <c r="C800" s="21" t="n"/>
      <c r="M800" s="20" t="n"/>
    </row>
    <row r="801">
      <c r="A801">
        <f>IF(G801="","",ROW()-1)</f>
        <v/>
      </c>
      <c r="B801" s="20" t="n"/>
      <c r="C801" s="21" t="n"/>
      <c r="M801" s="20" t="n"/>
    </row>
    <row r="802">
      <c r="A802">
        <f>IF(G802="","",ROW()-1)</f>
        <v/>
      </c>
      <c r="B802" s="20" t="n"/>
      <c r="C802" s="21" t="n"/>
      <c r="M802" s="20" t="n"/>
    </row>
    <row r="803">
      <c r="A803">
        <f>IF(G803="","",ROW()-1)</f>
        <v/>
      </c>
      <c r="B803" s="20" t="n"/>
      <c r="C803" s="21" t="n"/>
      <c r="M803" s="20" t="n"/>
    </row>
    <row r="804">
      <c r="A804">
        <f>IF(G804="","",ROW()-1)</f>
        <v/>
      </c>
      <c r="B804" s="20" t="n"/>
      <c r="C804" s="21" t="n"/>
      <c r="M804" s="20" t="n"/>
    </row>
    <row r="805">
      <c r="A805">
        <f>IF(G805="","",ROW()-1)</f>
        <v/>
      </c>
      <c r="B805" s="20" t="n"/>
      <c r="C805" s="21" t="n"/>
      <c r="M805" s="20" t="n"/>
    </row>
    <row r="806">
      <c r="A806">
        <f>IF(G806="","",ROW()-1)</f>
        <v/>
      </c>
      <c r="B806" s="20" t="n"/>
      <c r="C806" s="21" t="n"/>
      <c r="M806" s="20" t="n"/>
    </row>
    <row r="807">
      <c r="A807">
        <f>IF(G807="","",ROW()-1)</f>
        <v/>
      </c>
      <c r="B807" s="20" t="n"/>
      <c r="C807" s="21" t="n"/>
      <c r="M807" s="20" t="n"/>
    </row>
    <row r="808">
      <c r="A808">
        <f>IF(G808="","",ROW()-1)</f>
        <v/>
      </c>
      <c r="B808" s="20" t="n"/>
      <c r="C808" s="21" t="n"/>
      <c r="M808" s="20" t="n"/>
    </row>
    <row r="809">
      <c r="A809">
        <f>IF(G809="","",ROW()-1)</f>
        <v/>
      </c>
      <c r="B809" s="20" t="n"/>
      <c r="C809" s="21" t="n"/>
      <c r="M809" s="20" t="n"/>
    </row>
    <row r="810">
      <c r="A810">
        <f>IF(G810="","",ROW()-1)</f>
        <v/>
      </c>
      <c r="B810" s="20" t="n"/>
      <c r="C810" s="21" t="n"/>
      <c r="M810" s="20" t="n"/>
    </row>
    <row r="811">
      <c r="A811">
        <f>IF(G811="","",ROW()-1)</f>
        <v/>
      </c>
      <c r="B811" s="20" t="n"/>
      <c r="C811" s="21" t="n"/>
      <c r="M811" s="20" t="n"/>
    </row>
    <row r="812">
      <c r="A812">
        <f>IF(G812="","",ROW()-1)</f>
        <v/>
      </c>
      <c r="B812" s="20" t="n"/>
      <c r="C812" s="21" t="n"/>
      <c r="M812" s="20" t="n"/>
    </row>
    <row r="813">
      <c r="A813">
        <f>IF(G813="","",ROW()-1)</f>
        <v/>
      </c>
      <c r="B813" s="20" t="n"/>
      <c r="C813" s="21" t="n"/>
      <c r="M813" s="20" t="n"/>
    </row>
    <row r="814">
      <c r="A814">
        <f>IF(G814="","",ROW()-1)</f>
        <v/>
      </c>
      <c r="B814" s="20" t="n"/>
      <c r="C814" s="21" t="n"/>
      <c r="M814" s="20" t="n"/>
    </row>
    <row r="815">
      <c r="A815">
        <f>IF(G815="","",ROW()-1)</f>
        <v/>
      </c>
      <c r="B815" s="20" t="n"/>
      <c r="C815" s="21" t="n"/>
      <c r="M815" s="20" t="n"/>
    </row>
    <row r="816">
      <c r="A816">
        <f>IF(G816="","",ROW()-1)</f>
        <v/>
      </c>
      <c r="B816" s="20" t="n"/>
      <c r="C816" s="21" t="n"/>
      <c r="M816" s="20" t="n"/>
    </row>
    <row r="817">
      <c r="A817">
        <f>IF(G817="","",ROW()-1)</f>
        <v/>
      </c>
      <c r="B817" s="20" t="n"/>
      <c r="C817" s="21" t="n"/>
      <c r="M817" s="20" t="n"/>
    </row>
    <row r="818">
      <c r="A818">
        <f>IF(G818="","",ROW()-1)</f>
        <v/>
      </c>
      <c r="B818" s="20" t="n"/>
      <c r="C818" s="21" t="n"/>
      <c r="M818" s="20" t="n"/>
    </row>
    <row r="819">
      <c r="A819">
        <f>IF(G819="","",ROW()-1)</f>
        <v/>
      </c>
      <c r="B819" s="20" t="n"/>
      <c r="C819" s="21" t="n"/>
      <c r="M819" s="20" t="n"/>
    </row>
    <row r="820">
      <c r="A820">
        <f>IF(G820="","",ROW()-1)</f>
        <v/>
      </c>
      <c r="B820" s="20" t="n"/>
      <c r="C820" s="21" t="n"/>
      <c r="M820" s="20" t="n"/>
    </row>
    <row r="821">
      <c r="A821">
        <f>IF(G821="","",ROW()-1)</f>
        <v/>
      </c>
      <c r="B821" s="20" t="n"/>
      <c r="C821" s="21" t="n"/>
      <c r="M821" s="20" t="n"/>
    </row>
    <row r="822">
      <c r="A822">
        <f>IF(G822="","",ROW()-1)</f>
        <v/>
      </c>
      <c r="B822" s="20" t="n"/>
      <c r="C822" s="21" t="n"/>
      <c r="M822" s="20" t="n"/>
    </row>
    <row r="823">
      <c r="A823">
        <f>IF(G823="","",ROW()-1)</f>
        <v/>
      </c>
      <c r="B823" s="20" t="n"/>
      <c r="C823" s="21" t="n"/>
      <c r="M823" s="20" t="n"/>
    </row>
    <row r="824">
      <c r="A824">
        <f>IF(G824="","",ROW()-1)</f>
        <v/>
      </c>
      <c r="B824" s="20" t="n"/>
      <c r="C824" s="21" t="n"/>
      <c r="M824" s="20" t="n"/>
    </row>
    <row r="825">
      <c r="A825">
        <f>IF(G825="","",ROW()-1)</f>
        <v/>
      </c>
      <c r="B825" s="20" t="n"/>
      <c r="C825" s="21" t="n"/>
      <c r="M825" s="20" t="n"/>
    </row>
    <row r="826">
      <c r="A826">
        <f>IF(G826="","",ROW()-1)</f>
        <v/>
      </c>
      <c r="B826" s="20" t="n"/>
      <c r="C826" s="21" t="n"/>
      <c r="M826" s="20" t="n"/>
    </row>
    <row r="827">
      <c r="A827">
        <f>IF(G827="","",ROW()-1)</f>
        <v/>
      </c>
      <c r="B827" s="20" t="n"/>
      <c r="C827" s="21" t="n"/>
      <c r="M827" s="20" t="n"/>
    </row>
    <row r="828">
      <c r="A828">
        <f>IF(G828="","",ROW()-1)</f>
        <v/>
      </c>
      <c r="B828" s="20" t="n"/>
      <c r="C828" s="21" t="n"/>
      <c r="M828" s="20" t="n"/>
    </row>
    <row r="829">
      <c r="A829">
        <f>IF(G829="","",ROW()-1)</f>
        <v/>
      </c>
      <c r="B829" s="20" t="n"/>
      <c r="C829" s="21" t="n"/>
      <c r="M829" s="20" t="n"/>
    </row>
    <row r="830">
      <c r="A830">
        <f>IF(G830="","",ROW()-1)</f>
        <v/>
      </c>
      <c r="B830" s="20" t="n"/>
      <c r="C830" s="21" t="n"/>
      <c r="M830" s="20" t="n"/>
    </row>
    <row r="831">
      <c r="A831">
        <f>IF(G831="","",ROW()-1)</f>
        <v/>
      </c>
      <c r="B831" s="20" t="n"/>
      <c r="C831" s="21" t="n"/>
      <c r="M831" s="20" t="n"/>
    </row>
    <row r="832">
      <c r="A832">
        <f>IF(G832="","",ROW()-1)</f>
        <v/>
      </c>
      <c r="B832" s="20" t="n"/>
      <c r="C832" s="21" t="n"/>
      <c r="M832" s="20" t="n"/>
    </row>
    <row r="833">
      <c r="A833">
        <f>IF(G833="","",ROW()-1)</f>
        <v/>
      </c>
      <c r="B833" s="20" t="n"/>
      <c r="C833" s="21" t="n"/>
      <c r="M833" s="20" t="n"/>
    </row>
    <row r="834">
      <c r="A834">
        <f>IF(G834="","",ROW()-1)</f>
        <v/>
      </c>
      <c r="B834" s="20" t="n"/>
      <c r="C834" s="21" t="n"/>
      <c r="M834" s="20" t="n"/>
    </row>
    <row r="835">
      <c r="A835">
        <f>IF(G835="","",ROW()-1)</f>
        <v/>
      </c>
      <c r="B835" s="20" t="n"/>
      <c r="C835" s="21" t="n"/>
      <c r="M835" s="20" t="n"/>
    </row>
    <row r="836">
      <c r="A836">
        <f>IF(G836="","",ROW()-1)</f>
        <v/>
      </c>
      <c r="B836" s="20" t="n"/>
      <c r="C836" s="21" t="n"/>
      <c r="M836" s="20" t="n"/>
    </row>
    <row r="837">
      <c r="A837">
        <f>IF(G837="","",ROW()-1)</f>
        <v/>
      </c>
      <c r="B837" s="20" t="n"/>
      <c r="C837" s="21" t="n"/>
      <c r="M837" s="20" t="n"/>
    </row>
    <row r="838">
      <c r="A838">
        <f>IF(G838="","",ROW()-1)</f>
        <v/>
      </c>
      <c r="B838" s="20" t="n"/>
      <c r="C838" s="21" t="n"/>
      <c r="M838" s="20" t="n"/>
    </row>
    <row r="839">
      <c r="A839">
        <f>IF(G839="","",ROW()-1)</f>
        <v/>
      </c>
      <c r="B839" s="20" t="n"/>
      <c r="C839" s="21" t="n"/>
      <c r="M839" s="20" t="n"/>
    </row>
    <row r="840">
      <c r="A840">
        <f>IF(G840="","",ROW()-1)</f>
        <v/>
      </c>
      <c r="B840" s="20" t="n"/>
      <c r="C840" s="21" t="n"/>
      <c r="M840" s="20" t="n"/>
    </row>
    <row r="841">
      <c r="A841">
        <f>IF(G841="","",ROW()-1)</f>
        <v/>
      </c>
      <c r="B841" s="20" t="n"/>
      <c r="C841" s="21" t="n"/>
      <c r="M841" s="20" t="n"/>
    </row>
    <row r="842">
      <c r="A842">
        <f>IF(G842="","",ROW()-1)</f>
        <v/>
      </c>
      <c r="B842" s="20" t="n"/>
      <c r="C842" s="21" t="n"/>
      <c r="M842" s="20" t="n"/>
    </row>
    <row r="843">
      <c r="A843">
        <f>IF(G843="","",ROW()-1)</f>
        <v/>
      </c>
      <c r="B843" s="20" t="n"/>
      <c r="C843" s="21" t="n"/>
      <c r="M843" s="20" t="n"/>
    </row>
    <row r="844">
      <c r="A844">
        <f>IF(G844="","",ROW()-1)</f>
        <v/>
      </c>
      <c r="B844" s="20" t="n"/>
      <c r="C844" s="21" t="n"/>
      <c r="M844" s="20" t="n"/>
    </row>
    <row r="845">
      <c r="A845">
        <f>IF(G845="","",ROW()-1)</f>
        <v/>
      </c>
      <c r="B845" s="20" t="n"/>
      <c r="C845" s="21" t="n"/>
      <c r="M845" s="20" t="n"/>
    </row>
    <row r="846">
      <c r="A846">
        <f>IF(G846="","",ROW()-1)</f>
        <v/>
      </c>
      <c r="B846" s="20" t="n"/>
      <c r="C846" s="21" t="n"/>
      <c r="M846" s="20" t="n"/>
    </row>
    <row r="847">
      <c r="A847">
        <f>IF(G847="","",ROW()-1)</f>
        <v/>
      </c>
      <c r="B847" s="20" t="n"/>
      <c r="C847" s="21" t="n"/>
      <c r="M847" s="20" t="n"/>
    </row>
    <row r="848">
      <c r="A848">
        <f>IF(G848="","",ROW()-1)</f>
        <v/>
      </c>
      <c r="B848" s="20" t="n"/>
      <c r="C848" s="21" t="n"/>
      <c r="M848" s="20" t="n"/>
    </row>
    <row r="849">
      <c r="A849">
        <f>IF(G849="","",ROW()-1)</f>
        <v/>
      </c>
      <c r="B849" s="20" t="n"/>
      <c r="C849" s="21" t="n"/>
      <c r="M849" s="20" t="n"/>
    </row>
    <row r="850">
      <c r="A850">
        <f>IF(G850="","",ROW()-1)</f>
        <v/>
      </c>
      <c r="B850" s="20" t="n"/>
      <c r="C850" s="21" t="n"/>
      <c r="M850" s="20" t="n"/>
    </row>
    <row r="851">
      <c r="A851">
        <f>IF(G851="","",ROW()-1)</f>
        <v/>
      </c>
      <c r="B851" s="20" t="n"/>
      <c r="C851" s="21" t="n"/>
      <c r="M851" s="20" t="n"/>
    </row>
    <row r="852">
      <c r="A852">
        <f>IF(G852="","",ROW()-1)</f>
        <v/>
      </c>
      <c r="B852" s="20" t="n"/>
      <c r="C852" s="21" t="n"/>
      <c r="M852" s="20" t="n"/>
    </row>
    <row r="853">
      <c r="A853">
        <f>IF(G853="","",ROW()-1)</f>
        <v/>
      </c>
      <c r="B853" s="20" t="n"/>
      <c r="C853" s="21" t="n"/>
      <c r="M853" s="20" t="n"/>
    </row>
    <row r="854">
      <c r="A854">
        <f>IF(G854="","",ROW()-1)</f>
        <v/>
      </c>
      <c r="B854" s="20" t="n"/>
      <c r="C854" s="21" t="n"/>
      <c r="M854" s="20" t="n"/>
    </row>
    <row r="855">
      <c r="A855">
        <f>IF(G855="","",ROW()-1)</f>
        <v/>
      </c>
      <c r="B855" s="20" t="n"/>
      <c r="C855" s="21" t="n"/>
      <c r="M855" s="20" t="n"/>
    </row>
    <row r="856">
      <c r="A856">
        <f>IF(G856="","",ROW()-1)</f>
        <v/>
      </c>
      <c r="B856" s="20" t="n"/>
      <c r="C856" s="21" t="n"/>
      <c r="M856" s="20" t="n"/>
    </row>
    <row r="857">
      <c r="A857">
        <f>IF(G857="","",ROW()-1)</f>
        <v/>
      </c>
      <c r="B857" s="20" t="n"/>
      <c r="C857" s="21" t="n"/>
      <c r="M857" s="20" t="n"/>
    </row>
    <row r="858">
      <c r="A858">
        <f>IF(G858="","",ROW()-1)</f>
        <v/>
      </c>
      <c r="B858" s="20" t="n"/>
      <c r="C858" s="21" t="n"/>
      <c r="M858" s="20" t="n"/>
    </row>
    <row r="859">
      <c r="A859">
        <f>IF(G859="","",ROW()-1)</f>
        <v/>
      </c>
      <c r="B859" s="20" t="n"/>
      <c r="C859" s="21" t="n"/>
      <c r="M859" s="20" t="n"/>
    </row>
    <row r="860">
      <c r="A860">
        <f>IF(G860="","",ROW()-1)</f>
        <v/>
      </c>
      <c r="B860" s="20" t="n"/>
      <c r="C860" s="21" t="n"/>
      <c r="M860" s="20" t="n"/>
    </row>
    <row r="861">
      <c r="A861">
        <f>IF(G861="","",ROW()-1)</f>
        <v/>
      </c>
      <c r="B861" s="20" t="n"/>
      <c r="C861" s="21" t="n"/>
      <c r="M861" s="20" t="n"/>
    </row>
    <row r="862">
      <c r="A862">
        <f>IF(G862="","",ROW()-1)</f>
        <v/>
      </c>
      <c r="B862" s="20" t="n"/>
      <c r="C862" s="21" t="n"/>
      <c r="M862" s="20" t="n"/>
    </row>
    <row r="863">
      <c r="A863">
        <f>IF(G863="","",ROW()-1)</f>
        <v/>
      </c>
      <c r="B863" s="20" t="n"/>
      <c r="C863" s="21" t="n"/>
      <c r="M863" s="20" t="n"/>
    </row>
    <row r="864">
      <c r="A864">
        <f>IF(G864="","",ROW()-1)</f>
        <v/>
      </c>
      <c r="B864" s="20" t="n"/>
      <c r="C864" s="21" t="n"/>
      <c r="M864" s="20" t="n"/>
    </row>
    <row r="865">
      <c r="A865">
        <f>IF(G865="","",ROW()-1)</f>
        <v/>
      </c>
      <c r="B865" s="20" t="n"/>
      <c r="C865" s="21" t="n"/>
      <c r="M865" s="20" t="n"/>
    </row>
    <row r="866">
      <c r="A866">
        <f>IF(G866="","",ROW()-1)</f>
        <v/>
      </c>
      <c r="B866" s="20" t="n"/>
      <c r="C866" s="21" t="n"/>
      <c r="M866" s="20" t="n"/>
    </row>
    <row r="867">
      <c r="A867">
        <f>IF(G867="","",ROW()-1)</f>
        <v/>
      </c>
      <c r="B867" s="20" t="n"/>
      <c r="C867" s="21" t="n"/>
      <c r="M867" s="20" t="n"/>
    </row>
    <row r="868">
      <c r="A868">
        <f>IF(G868="","",ROW()-1)</f>
        <v/>
      </c>
      <c r="B868" s="20" t="n"/>
      <c r="C868" s="21" t="n"/>
      <c r="M868" s="20" t="n"/>
    </row>
    <row r="869">
      <c r="A869">
        <f>IF(G869="","",ROW()-1)</f>
        <v/>
      </c>
      <c r="B869" s="20" t="n"/>
      <c r="C869" s="21" t="n"/>
      <c r="M869" s="20" t="n"/>
    </row>
    <row r="870">
      <c r="A870">
        <f>IF(G870="","",ROW()-1)</f>
        <v/>
      </c>
      <c r="B870" s="20" t="n"/>
      <c r="C870" s="21" t="n"/>
      <c r="M870" s="20" t="n"/>
    </row>
    <row r="871">
      <c r="A871">
        <f>IF(G871="","",ROW()-1)</f>
        <v/>
      </c>
      <c r="B871" s="20" t="n"/>
      <c r="C871" s="21" t="n"/>
      <c r="M871" s="20" t="n"/>
    </row>
    <row r="872">
      <c r="A872">
        <f>IF(G872="","",ROW()-1)</f>
        <v/>
      </c>
      <c r="B872" s="20" t="n"/>
      <c r="C872" s="21" t="n"/>
      <c r="M872" s="20" t="n"/>
    </row>
    <row r="873">
      <c r="A873">
        <f>IF(G873="","",ROW()-1)</f>
        <v/>
      </c>
      <c r="B873" s="20" t="n"/>
      <c r="C873" s="21" t="n"/>
      <c r="M873" s="20" t="n"/>
    </row>
    <row r="874">
      <c r="A874">
        <f>IF(G874="","",ROW()-1)</f>
        <v/>
      </c>
      <c r="B874" s="20" t="n"/>
      <c r="C874" s="21" t="n"/>
      <c r="M874" s="20" t="n"/>
    </row>
    <row r="875">
      <c r="A875">
        <f>IF(G875="","",ROW()-1)</f>
        <v/>
      </c>
      <c r="B875" s="20" t="n"/>
      <c r="C875" s="21" t="n"/>
      <c r="M875" s="20" t="n"/>
    </row>
    <row r="876">
      <c r="A876">
        <f>IF(G876="","",ROW()-1)</f>
        <v/>
      </c>
      <c r="B876" s="20" t="n"/>
      <c r="C876" s="21" t="n"/>
      <c r="M876" s="20" t="n"/>
    </row>
    <row r="877">
      <c r="A877">
        <f>IF(G877="","",ROW()-1)</f>
        <v/>
      </c>
      <c r="B877" s="20" t="n"/>
      <c r="C877" s="21" t="n"/>
      <c r="M877" s="20" t="n"/>
    </row>
    <row r="878">
      <c r="A878">
        <f>IF(G878="","",ROW()-1)</f>
        <v/>
      </c>
      <c r="B878" s="20" t="n"/>
      <c r="C878" s="21" t="n"/>
      <c r="M878" s="20" t="n"/>
    </row>
    <row r="879">
      <c r="A879">
        <f>IF(G879="","",ROW()-1)</f>
        <v/>
      </c>
      <c r="B879" s="20" t="n"/>
      <c r="C879" s="21" t="n"/>
      <c r="M879" s="20" t="n"/>
    </row>
    <row r="880">
      <c r="A880">
        <f>IF(G880="","",ROW()-1)</f>
        <v/>
      </c>
      <c r="B880" s="20" t="n"/>
      <c r="C880" s="21" t="n"/>
      <c r="M880" s="20" t="n"/>
    </row>
    <row r="881">
      <c r="A881">
        <f>IF(G881="","",ROW()-1)</f>
        <v/>
      </c>
      <c r="B881" s="20" t="n"/>
      <c r="C881" s="21" t="n"/>
      <c r="M881" s="20" t="n"/>
    </row>
    <row r="882">
      <c r="A882">
        <f>IF(G882="","",ROW()-1)</f>
        <v/>
      </c>
      <c r="B882" s="20" t="n"/>
      <c r="C882" s="21" t="n"/>
      <c r="M882" s="20" t="n"/>
    </row>
    <row r="883">
      <c r="A883">
        <f>IF(G883="","",ROW()-1)</f>
        <v/>
      </c>
      <c r="B883" s="20" t="n"/>
      <c r="C883" s="21" t="n"/>
      <c r="M883" s="20" t="n"/>
    </row>
    <row r="884">
      <c r="A884">
        <f>IF(G884="","",ROW()-1)</f>
        <v/>
      </c>
      <c r="B884" s="20" t="n"/>
      <c r="C884" s="21" t="n"/>
      <c r="M884" s="20" t="n"/>
    </row>
    <row r="885">
      <c r="A885">
        <f>IF(G885="","",ROW()-1)</f>
        <v/>
      </c>
      <c r="B885" s="20" t="n"/>
      <c r="C885" s="21" t="n"/>
      <c r="M885" s="20" t="n"/>
    </row>
    <row r="886">
      <c r="A886">
        <f>IF(G886="","",ROW()-1)</f>
        <v/>
      </c>
      <c r="B886" s="20" t="n"/>
      <c r="C886" s="21" t="n"/>
      <c r="M886" s="20" t="n"/>
    </row>
    <row r="887">
      <c r="A887">
        <f>IF(G887="","",ROW()-1)</f>
        <v/>
      </c>
      <c r="B887" s="20" t="n"/>
      <c r="C887" s="21" t="n"/>
      <c r="M887" s="20" t="n"/>
    </row>
    <row r="888">
      <c r="A888">
        <f>IF(G888="","",ROW()-1)</f>
        <v/>
      </c>
      <c r="B888" s="20" t="n"/>
      <c r="C888" s="21" t="n"/>
      <c r="M888" s="20" t="n"/>
    </row>
    <row r="889">
      <c r="A889">
        <f>IF(G889="","",ROW()-1)</f>
        <v/>
      </c>
      <c r="B889" s="20" t="n"/>
      <c r="C889" s="21" t="n"/>
      <c r="M889" s="20" t="n"/>
    </row>
    <row r="890">
      <c r="A890">
        <f>IF(G890="","",ROW()-1)</f>
        <v/>
      </c>
      <c r="B890" s="20" t="n"/>
      <c r="C890" s="21" t="n"/>
      <c r="M890" s="20" t="n"/>
    </row>
    <row r="891">
      <c r="A891">
        <f>IF(G891="","",ROW()-1)</f>
        <v/>
      </c>
      <c r="B891" s="20" t="n"/>
      <c r="C891" s="21" t="n"/>
      <c r="M891" s="20" t="n"/>
    </row>
    <row r="892">
      <c r="A892">
        <f>IF(G892="","",ROW()-1)</f>
        <v/>
      </c>
      <c r="B892" s="20" t="n"/>
      <c r="C892" s="21" t="n"/>
      <c r="M892" s="20" t="n"/>
    </row>
    <row r="893">
      <c r="A893">
        <f>IF(G893="","",ROW()-1)</f>
        <v/>
      </c>
      <c r="B893" s="20" t="n"/>
      <c r="C893" s="21" t="n"/>
      <c r="M893" s="20" t="n"/>
    </row>
    <row r="894">
      <c r="A894">
        <f>IF(G894="","",ROW()-1)</f>
        <v/>
      </c>
      <c r="B894" s="20" t="n"/>
      <c r="C894" s="21" t="n"/>
      <c r="M894" s="20" t="n"/>
    </row>
    <row r="895">
      <c r="A895">
        <f>IF(G895="","",ROW()-1)</f>
        <v/>
      </c>
      <c r="B895" s="20" t="n"/>
      <c r="C895" s="21" t="n"/>
      <c r="M895" s="20" t="n"/>
    </row>
    <row r="896">
      <c r="A896">
        <f>IF(G896="","",ROW()-1)</f>
        <v/>
      </c>
      <c r="B896" s="20" t="n"/>
      <c r="C896" s="21" t="n"/>
      <c r="M896" s="20" t="n"/>
    </row>
    <row r="897">
      <c r="A897">
        <f>IF(G897="","",ROW()-1)</f>
        <v/>
      </c>
      <c r="B897" s="20" t="n"/>
      <c r="C897" s="21" t="n"/>
      <c r="M897" s="20" t="n"/>
    </row>
    <row r="898">
      <c r="A898">
        <f>IF(G898="","",ROW()-1)</f>
        <v/>
      </c>
      <c r="B898" s="20" t="n"/>
      <c r="C898" s="21" t="n"/>
      <c r="M898" s="20" t="n"/>
    </row>
    <row r="899">
      <c r="A899">
        <f>IF(G899="","",ROW()-1)</f>
        <v/>
      </c>
      <c r="B899" s="20" t="n"/>
      <c r="C899" s="21" t="n"/>
      <c r="M899" s="20" t="n"/>
    </row>
    <row r="900">
      <c r="A900">
        <f>IF(G900="","",ROW()-1)</f>
        <v/>
      </c>
      <c r="B900" s="20" t="n"/>
      <c r="C900" s="21" t="n"/>
      <c r="M900" s="20" t="n"/>
    </row>
    <row r="901">
      <c r="A901">
        <f>IF(G901="","",ROW()-1)</f>
        <v/>
      </c>
      <c r="B901" s="20" t="n"/>
      <c r="C901" s="21" t="n"/>
      <c r="M901" s="20" t="n"/>
    </row>
    <row r="902">
      <c r="A902">
        <f>IF(G902="","",ROW()-1)</f>
        <v/>
      </c>
      <c r="B902" s="20" t="n"/>
      <c r="C902" s="21" t="n"/>
      <c r="M902" s="20" t="n"/>
    </row>
    <row r="903">
      <c r="A903">
        <f>IF(G903="","",ROW()-1)</f>
        <v/>
      </c>
      <c r="B903" s="20" t="n"/>
      <c r="C903" s="21" t="n"/>
      <c r="M903" s="20" t="n"/>
    </row>
    <row r="904">
      <c r="A904">
        <f>IF(G904="","",ROW()-1)</f>
        <v/>
      </c>
      <c r="B904" s="20" t="n"/>
      <c r="C904" s="21" t="n"/>
      <c r="M904" s="20" t="n"/>
    </row>
    <row r="905">
      <c r="A905">
        <f>IF(G905="","",ROW()-1)</f>
        <v/>
      </c>
      <c r="B905" s="20" t="n"/>
      <c r="C905" s="21" t="n"/>
      <c r="M905" s="20" t="n"/>
    </row>
    <row r="906">
      <c r="A906">
        <f>IF(G906="","",ROW()-1)</f>
        <v/>
      </c>
      <c r="B906" s="20" t="n"/>
      <c r="C906" s="21" t="n"/>
      <c r="M906" s="20" t="n"/>
    </row>
    <row r="907">
      <c r="A907">
        <f>IF(G907="","",ROW()-1)</f>
        <v/>
      </c>
      <c r="B907" s="20" t="n"/>
      <c r="C907" s="21" t="n"/>
      <c r="M907" s="20" t="n"/>
    </row>
    <row r="908">
      <c r="A908">
        <f>IF(G908="","",ROW()-1)</f>
        <v/>
      </c>
      <c r="B908" s="20" t="n"/>
      <c r="C908" s="21" t="n"/>
      <c r="M908" s="20" t="n"/>
    </row>
    <row r="909">
      <c r="A909">
        <f>IF(G909="","",ROW()-1)</f>
        <v/>
      </c>
      <c r="B909" s="20" t="n"/>
      <c r="C909" s="21" t="n"/>
      <c r="M909" s="20" t="n"/>
    </row>
    <row r="910">
      <c r="A910">
        <f>IF(G910="","",ROW()-1)</f>
        <v/>
      </c>
      <c r="B910" s="20" t="n"/>
      <c r="C910" s="21" t="n"/>
      <c r="M910" s="20" t="n"/>
    </row>
    <row r="911">
      <c r="A911">
        <f>IF(G911="","",ROW()-1)</f>
        <v/>
      </c>
      <c r="B911" s="20" t="n"/>
      <c r="C911" s="21" t="n"/>
      <c r="M911" s="20" t="n"/>
    </row>
    <row r="912">
      <c r="A912">
        <f>IF(G912="","",ROW()-1)</f>
        <v/>
      </c>
      <c r="B912" s="20" t="n"/>
      <c r="C912" s="21" t="n"/>
      <c r="M912" s="20" t="n"/>
    </row>
    <row r="913">
      <c r="A913">
        <f>IF(G913="","",ROW()-1)</f>
        <v/>
      </c>
      <c r="B913" s="20" t="n"/>
      <c r="C913" s="21" t="n"/>
      <c r="M913" s="20" t="n"/>
    </row>
    <row r="914">
      <c r="A914">
        <f>IF(G914="","",ROW()-1)</f>
        <v/>
      </c>
      <c r="B914" s="20" t="n"/>
      <c r="C914" s="21" t="n"/>
      <c r="M914" s="20" t="n"/>
    </row>
    <row r="915">
      <c r="A915">
        <f>IF(G915="","",ROW()-1)</f>
        <v/>
      </c>
      <c r="B915" s="20" t="n"/>
      <c r="C915" s="21" t="n"/>
      <c r="M915" s="20" t="n"/>
    </row>
    <row r="916">
      <c r="A916">
        <f>IF(G916="","",ROW()-1)</f>
        <v/>
      </c>
      <c r="B916" s="20" t="n"/>
      <c r="C916" s="21" t="n"/>
      <c r="M916" s="20" t="n"/>
    </row>
    <row r="917">
      <c r="A917">
        <f>IF(G917="","",ROW()-1)</f>
        <v/>
      </c>
      <c r="B917" s="20" t="n"/>
      <c r="C917" s="21" t="n"/>
      <c r="M917" s="20" t="n"/>
    </row>
    <row r="918">
      <c r="A918">
        <f>IF(G918="","",ROW()-1)</f>
        <v/>
      </c>
      <c r="B918" s="20" t="n"/>
      <c r="C918" s="21" t="n"/>
      <c r="M918" s="20" t="n"/>
    </row>
    <row r="919">
      <c r="A919">
        <f>IF(G919="","",ROW()-1)</f>
        <v/>
      </c>
      <c r="B919" s="20" t="n"/>
      <c r="C919" s="21" t="n"/>
      <c r="M919" s="20" t="n"/>
    </row>
    <row r="920">
      <c r="A920">
        <f>IF(G920="","",ROW()-1)</f>
        <v/>
      </c>
      <c r="B920" s="20" t="n"/>
      <c r="C920" s="21" t="n"/>
      <c r="M920" s="20" t="n"/>
    </row>
    <row r="921">
      <c r="A921">
        <f>IF(G921="","",ROW()-1)</f>
        <v/>
      </c>
      <c r="B921" s="20" t="n"/>
      <c r="C921" s="21" t="n"/>
      <c r="M921" s="20" t="n"/>
    </row>
    <row r="922">
      <c r="A922">
        <f>IF(G922="","",ROW()-1)</f>
        <v/>
      </c>
      <c r="B922" s="20" t="n"/>
      <c r="C922" s="21" t="n"/>
      <c r="M922" s="20" t="n"/>
    </row>
    <row r="923">
      <c r="A923">
        <f>IF(G923="","",ROW()-1)</f>
        <v/>
      </c>
      <c r="B923" s="20" t="n"/>
      <c r="C923" s="21" t="n"/>
      <c r="M923" s="20" t="n"/>
    </row>
    <row r="924">
      <c r="A924">
        <f>IF(G924="","",ROW()-1)</f>
        <v/>
      </c>
      <c r="B924" s="20" t="n"/>
      <c r="C924" s="21" t="n"/>
      <c r="M924" s="20" t="n"/>
    </row>
    <row r="925">
      <c r="A925">
        <f>IF(G925="","",ROW()-1)</f>
        <v/>
      </c>
      <c r="B925" s="20" t="n"/>
      <c r="C925" s="21" t="n"/>
      <c r="M925" s="20" t="n"/>
    </row>
    <row r="926">
      <c r="A926">
        <f>IF(G926="","",ROW()-1)</f>
        <v/>
      </c>
      <c r="B926" s="20" t="n"/>
      <c r="C926" s="21" t="n"/>
      <c r="M926" s="20" t="n"/>
    </row>
    <row r="927">
      <c r="A927">
        <f>IF(G927="","",ROW()-1)</f>
        <v/>
      </c>
      <c r="B927" s="20" t="n"/>
      <c r="C927" s="21" t="n"/>
      <c r="M927" s="20" t="n"/>
    </row>
    <row r="928">
      <c r="A928">
        <f>IF(G928="","",ROW()-1)</f>
        <v/>
      </c>
      <c r="B928" s="20" t="n"/>
      <c r="C928" s="21" t="n"/>
      <c r="M928" s="20" t="n"/>
    </row>
    <row r="929">
      <c r="A929">
        <f>IF(G929="","",ROW()-1)</f>
        <v/>
      </c>
      <c r="B929" s="20" t="n"/>
      <c r="C929" s="21" t="n"/>
      <c r="M929" s="20" t="n"/>
    </row>
    <row r="930">
      <c r="A930">
        <f>IF(G930="","",ROW()-1)</f>
        <v/>
      </c>
      <c r="B930" s="20" t="n"/>
      <c r="C930" s="21" t="n"/>
      <c r="M930" s="20" t="n"/>
    </row>
    <row r="931">
      <c r="A931">
        <f>IF(G931="","",ROW()-1)</f>
        <v/>
      </c>
      <c r="B931" s="20" t="n"/>
      <c r="C931" s="21" t="n"/>
      <c r="M931" s="20" t="n"/>
    </row>
    <row r="932">
      <c r="A932">
        <f>IF(G932="","",ROW()-1)</f>
        <v/>
      </c>
      <c r="B932" s="20" t="n"/>
      <c r="C932" s="21" t="n"/>
      <c r="M932" s="20" t="n"/>
    </row>
    <row r="933">
      <c r="A933">
        <f>IF(G933="","",ROW()-1)</f>
        <v/>
      </c>
      <c r="B933" s="20" t="n"/>
      <c r="C933" s="21" t="n"/>
      <c r="M933" s="20" t="n"/>
    </row>
    <row r="934">
      <c r="A934">
        <f>IF(G934="","",ROW()-1)</f>
        <v/>
      </c>
      <c r="B934" s="20" t="n"/>
      <c r="C934" s="21" t="n"/>
      <c r="M934" s="20" t="n"/>
    </row>
    <row r="935">
      <c r="A935">
        <f>IF(G935="","",ROW()-1)</f>
        <v/>
      </c>
      <c r="B935" s="20" t="n"/>
      <c r="C935" s="21" t="n"/>
      <c r="M935" s="20" t="n"/>
    </row>
    <row r="936">
      <c r="A936">
        <f>IF(G936="","",ROW()-1)</f>
        <v/>
      </c>
      <c r="B936" s="20" t="n"/>
      <c r="C936" s="21" t="n"/>
      <c r="M936" s="20" t="n"/>
    </row>
    <row r="937">
      <c r="A937">
        <f>IF(G937="","",ROW()-1)</f>
        <v/>
      </c>
      <c r="B937" s="20" t="n"/>
      <c r="C937" s="21" t="n"/>
      <c r="M937" s="20" t="n"/>
    </row>
    <row r="938">
      <c r="A938">
        <f>IF(G938="","",ROW()-1)</f>
        <v/>
      </c>
      <c r="B938" s="20" t="n"/>
      <c r="C938" s="21" t="n"/>
      <c r="M938" s="20" t="n"/>
    </row>
    <row r="939">
      <c r="A939">
        <f>IF(G939="","",ROW()-1)</f>
        <v/>
      </c>
      <c r="B939" s="20" t="n"/>
      <c r="C939" s="21" t="n"/>
      <c r="M939" s="20" t="n"/>
    </row>
    <row r="940">
      <c r="A940">
        <f>IF(G940="","",ROW()-1)</f>
        <v/>
      </c>
      <c r="B940" s="20" t="n"/>
      <c r="C940" s="21" t="n"/>
      <c r="M940" s="20" t="n"/>
    </row>
    <row r="941">
      <c r="A941">
        <f>IF(G941="","",ROW()-1)</f>
        <v/>
      </c>
      <c r="B941" s="20" t="n"/>
      <c r="C941" s="21" t="n"/>
      <c r="M941" s="20" t="n"/>
    </row>
    <row r="942">
      <c r="A942">
        <f>IF(G942="","",ROW()-1)</f>
        <v/>
      </c>
      <c r="B942" s="20" t="n"/>
      <c r="C942" s="21" t="n"/>
      <c r="M942" s="20" t="n"/>
    </row>
    <row r="943">
      <c r="A943">
        <f>IF(G943="","",ROW()-1)</f>
        <v/>
      </c>
      <c r="B943" s="20" t="n"/>
      <c r="C943" s="21" t="n"/>
      <c r="M943" s="20" t="n"/>
    </row>
    <row r="944">
      <c r="A944">
        <f>IF(G944="","",ROW()-1)</f>
        <v/>
      </c>
      <c r="B944" s="20" t="n"/>
      <c r="C944" s="21" t="n"/>
      <c r="M944" s="20" t="n"/>
    </row>
    <row r="945">
      <c r="A945">
        <f>IF(G945="","",ROW()-1)</f>
        <v/>
      </c>
      <c r="B945" s="20" t="n"/>
      <c r="C945" s="21" t="n"/>
      <c r="M945" s="20" t="n"/>
    </row>
    <row r="946">
      <c r="A946">
        <f>IF(G946="","",ROW()-1)</f>
        <v/>
      </c>
      <c r="B946" s="20" t="n"/>
      <c r="C946" s="21" t="n"/>
      <c r="M946" s="20" t="n"/>
    </row>
    <row r="947">
      <c r="A947">
        <f>IF(G947="","",ROW()-1)</f>
        <v/>
      </c>
      <c r="B947" s="20" t="n"/>
      <c r="C947" s="21" t="n"/>
      <c r="M947" s="20" t="n"/>
    </row>
    <row r="948">
      <c r="A948">
        <f>IF(G948="","",ROW()-1)</f>
        <v/>
      </c>
      <c r="B948" s="20" t="n"/>
      <c r="C948" s="21" t="n"/>
      <c r="M948" s="20" t="n"/>
    </row>
    <row r="949">
      <c r="A949">
        <f>IF(G949="","",ROW()-1)</f>
        <v/>
      </c>
      <c r="B949" s="20" t="n"/>
      <c r="C949" s="21" t="n"/>
      <c r="M949" s="20" t="n"/>
    </row>
    <row r="950">
      <c r="A950">
        <f>IF(G950="","",ROW()-1)</f>
        <v/>
      </c>
      <c r="B950" s="20" t="n"/>
      <c r="C950" s="21" t="n"/>
      <c r="M950" s="20" t="n"/>
    </row>
    <row r="951">
      <c r="A951">
        <f>IF(G951="","",ROW()-1)</f>
        <v/>
      </c>
      <c r="B951" s="20" t="n"/>
      <c r="C951" s="21" t="n"/>
      <c r="M951" s="20" t="n"/>
    </row>
    <row r="952">
      <c r="A952">
        <f>IF(G952="","",ROW()-1)</f>
        <v/>
      </c>
      <c r="B952" s="20" t="n"/>
      <c r="C952" s="21" t="n"/>
      <c r="M952" s="20" t="n"/>
    </row>
    <row r="953">
      <c r="A953">
        <f>IF(G953="","",ROW()-1)</f>
        <v/>
      </c>
      <c r="B953" s="20" t="n"/>
      <c r="C953" s="21" t="n"/>
      <c r="M953" s="20" t="n"/>
    </row>
    <row r="954">
      <c r="A954">
        <f>IF(G954="","",ROW()-1)</f>
        <v/>
      </c>
      <c r="B954" s="20" t="n"/>
      <c r="C954" s="21" t="n"/>
      <c r="M954" s="20" t="n"/>
    </row>
    <row r="955">
      <c r="A955">
        <f>IF(G955="","",ROW()-1)</f>
        <v/>
      </c>
      <c r="B955" s="20" t="n"/>
      <c r="C955" s="21" t="n"/>
      <c r="M955" s="20" t="n"/>
    </row>
    <row r="956">
      <c r="A956">
        <f>IF(G956="","",ROW()-1)</f>
        <v/>
      </c>
      <c r="B956" s="20" t="n"/>
      <c r="C956" s="21" t="n"/>
      <c r="M956" s="20" t="n"/>
    </row>
    <row r="957">
      <c r="A957">
        <f>IF(G957="","",ROW()-1)</f>
        <v/>
      </c>
      <c r="B957" s="20" t="n"/>
      <c r="C957" s="21" t="n"/>
      <c r="M957" s="20" t="n"/>
    </row>
    <row r="958">
      <c r="A958">
        <f>IF(G958="","",ROW()-1)</f>
        <v/>
      </c>
      <c r="B958" s="20" t="n"/>
      <c r="C958" s="21" t="n"/>
      <c r="M958" s="20" t="n"/>
    </row>
    <row r="959">
      <c r="A959">
        <f>IF(G959="","",ROW()-1)</f>
        <v/>
      </c>
      <c r="B959" s="20" t="n"/>
      <c r="C959" s="21" t="n"/>
      <c r="M959" s="20" t="n"/>
    </row>
    <row r="960">
      <c r="A960">
        <f>IF(G960="","",ROW()-1)</f>
        <v/>
      </c>
      <c r="B960" s="20" t="n"/>
      <c r="C960" s="21" t="n"/>
      <c r="M960" s="20" t="n"/>
    </row>
    <row r="961">
      <c r="A961">
        <f>IF(G961="","",ROW()-1)</f>
        <v/>
      </c>
      <c r="B961" s="20" t="n"/>
      <c r="C961" s="21" t="n"/>
      <c r="M961" s="20" t="n"/>
    </row>
    <row r="962">
      <c r="A962">
        <f>IF(G962="","",ROW()-1)</f>
        <v/>
      </c>
      <c r="B962" s="20" t="n"/>
      <c r="C962" s="21" t="n"/>
      <c r="M962" s="20" t="n"/>
    </row>
    <row r="963">
      <c r="A963">
        <f>IF(G963="","",ROW()-1)</f>
        <v/>
      </c>
      <c r="B963" s="20" t="n"/>
      <c r="C963" s="21" t="n"/>
      <c r="M963" s="20" t="n"/>
    </row>
    <row r="964">
      <c r="A964">
        <f>IF(G964="","",ROW()-1)</f>
        <v/>
      </c>
      <c r="B964" s="20" t="n"/>
      <c r="C964" s="21" t="n"/>
      <c r="M964" s="20" t="n"/>
    </row>
    <row r="965">
      <c r="A965">
        <f>IF(G965="","",ROW()-1)</f>
        <v/>
      </c>
      <c r="B965" s="20" t="n"/>
      <c r="C965" s="21" t="n"/>
      <c r="M965" s="20" t="n"/>
    </row>
    <row r="966">
      <c r="A966">
        <f>IF(G966="","",ROW()-1)</f>
        <v/>
      </c>
      <c r="B966" s="20" t="n"/>
      <c r="C966" s="21" t="n"/>
      <c r="M966" s="20" t="n"/>
    </row>
    <row r="967">
      <c r="A967">
        <f>IF(G967="","",ROW()-1)</f>
        <v/>
      </c>
      <c r="B967" s="20" t="n"/>
      <c r="C967" s="21" t="n"/>
      <c r="M967" s="20" t="n"/>
    </row>
    <row r="968">
      <c r="A968">
        <f>IF(G968="","",ROW()-1)</f>
        <v/>
      </c>
      <c r="B968" s="20" t="n"/>
      <c r="C968" s="21" t="n"/>
      <c r="M968" s="20" t="n"/>
    </row>
    <row r="969">
      <c r="A969">
        <f>IF(G969="","",ROW()-1)</f>
        <v/>
      </c>
      <c r="B969" s="20" t="n"/>
      <c r="C969" s="21" t="n"/>
      <c r="M969" s="20" t="n"/>
    </row>
    <row r="970">
      <c r="A970">
        <f>IF(G970="","",ROW()-1)</f>
        <v/>
      </c>
      <c r="B970" s="20" t="n"/>
      <c r="C970" s="21" t="n"/>
      <c r="M970" s="20" t="n"/>
    </row>
    <row r="971">
      <c r="A971">
        <f>IF(G971="","",ROW()-1)</f>
        <v/>
      </c>
      <c r="B971" s="20" t="n"/>
      <c r="C971" s="21" t="n"/>
      <c r="M971" s="20" t="n"/>
    </row>
    <row r="972">
      <c r="A972">
        <f>IF(G972="","",ROW()-1)</f>
        <v/>
      </c>
      <c r="B972" s="20" t="n"/>
      <c r="C972" s="21" t="n"/>
      <c r="M972" s="20" t="n"/>
    </row>
    <row r="973">
      <c r="A973">
        <f>IF(G973="","",ROW()-1)</f>
        <v/>
      </c>
      <c r="B973" s="20" t="n"/>
      <c r="C973" s="21" t="n"/>
      <c r="M973" s="20" t="n"/>
    </row>
    <row r="974">
      <c r="A974">
        <f>IF(G974="","",ROW()-1)</f>
        <v/>
      </c>
      <c r="B974" s="20" t="n"/>
      <c r="C974" s="21" t="n"/>
      <c r="M974" s="20" t="n"/>
    </row>
    <row r="975">
      <c r="A975">
        <f>IF(G975="","",ROW()-1)</f>
        <v/>
      </c>
      <c r="B975" s="20" t="n"/>
      <c r="C975" s="21" t="n"/>
      <c r="M975" s="20" t="n"/>
    </row>
    <row r="976">
      <c r="A976">
        <f>IF(G976="","",ROW()-1)</f>
        <v/>
      </c>
      <c r="B976" s="20" t="n"/>
      <c r="C976" s="21" t="n"/>
      <c r="M976" s="20" t="n"/>
    </row>
    <row r="977">
      <c r="A977">
        <f>IF(G977="","",ROW()-1)</f>
        <v/>
      </c>
      <c r="B977" s="20" t="n"/>
      <c r="C977" s="21" t="n"/>
      <c r="M977" s="20" t="n"/>
    </row>
    <row r="978">
      <c r="A978">
        <f>IF(G978="","",ROW()-1)</f>
        <v/>
      </c>
      <c r="B978" s="20" t="n"/>
      <c r="C978" s="21" t="n"/>
      <c r="M978" s="20" t="n"/>
    </row>
    <row r="979">
      <c r="A979">
        <f>IF(G979="","",ROW()-1)</f>
        <v/>
      </c>
      <c r="B979" s="20" t="n"/>
      <c r="C979" s="21" t="n"/>
      <c r="M979" s="20" t="n"/>
    </row>
    <row r="980">
      <c r="A980">
        <f>IF(G980="","",ROW()-1)</f>
        <v/>
      </c>
      <c r="B980" s="20" t="n"/>
      <c r="C980" s="21" t="n"/>
      <c r="M980" s="20" t="n"/>
    </row>
    <row r="981">
      <c r="A981">
        <f>IF(G981="","",ROW()-1)</f>
        <v/>
      </c>
      <c r="B981" s="20" t="n"/>
      <c r="C981" s="21" t="n"/>
      <c r="M981" s="20" t="n"/>
    </row>
    <row r="982">
      <c r="A982">
        <f>IF(G982="","",ROW()-1)</f>
        <v/>
      </c>
      <c r="B982" s="20" t="n"/>
      <c r="C982" s="21" t="n"/>
      <c r="M982" s="20" t="n"/>
    </row>
    <row r="983">
      <c r="A983">
        <f>IF(G983="","",ROW()-1)</f>
        <v/>
      </c>
      <c r="B983" s="20" t="n"/>
      <c r="C983" s="21" t="n"/>
      <c r="M983" s="20" t="n"/>
    </row>
    <row r="984">
      <c r="A984">
        <f>IF(G984="","",ROW()-1)</f>
        <v/>
      </c>
      <c r="B984" s="20" t="n"/>
      <c r="C984" s="21" t="n"/>
      <c r="M984" s="20" t="n"/>
    </row>
    <row r="985">
      <c r="A985">
        <f>IF(G985="","",ROW()-1)</f>
        <v/>
      </c>
      <c r="B985" s="20" t="n"/>
      <c r="C985" s="21" t="n"/>
      <c r="M985" s="20" t="n"/>
    </row>
    <row r="986">
      <c r="A986">
        <f>IF(G986="","",ROW()-1)</f>
        <v/>
      </c>
      <c r="B986" s="20" t="n"/>
      <c r="C986" s="21" t="n"/>
      <c r="M986" s="20" t="n"/>
    </row>
    <row r="987">
      <c r="A987">
        <f>IF(G987="","",ROW()-1)</f>
        <v/>
      </c>
      <c r="B987" s="20" t="n"/>
      <c r="C987" s="21" t="n"/>
      <c r="M987" s="20" t="n"/>
    </row>
    <row r="988">
      <c r="A988">
        <f>IF(G988="","",ROW()-1)</f>
        <v/>
      </c>
      <c r="B988" s="20" t="n"/>
      <c r="C988" s="21" t="n"/>
      <c r="M988" s="20" t="n"/>
    </row>
    <row r="989">
      <c r="A989">
        <f>IF(G989="","",ROW()-1)</f>
        <v/>
      </c>
      <c r="B989" s="20" t="n"/>
      <c r="C989" s="21" t="n"/>
      <c r="M989" s="20" t="n"/>
    </row>
    <row r="990">
      <c r="A990">
        <f>IF(G990="","",ROW()-1)</f>
        <v/>
      </c>
      <c r="B990" s="20" t="n"/>
      <c r="C990" s="21" t="n"/>
      <c r="M990" s="20" t="n"/>
    </row>
    <row r="991">
      <c r="A991">
        <f>IF(G991="","",ROW()-1)</f>
        <v/>
      </c>
      <c r="B991" s="20" t="n"/>
      <c r="C991" s="21" t="n"/>
      <c r="M991" s="20" t="n"/>
    </row>
    <row r="992">
      <c r="A992">
        <f>IF(G992="","",ROW()-1)</f>
        <v/>
      </c>
      <c r="B992" s="20" t="n"/>
      <c r="C992" s="21" t="n"/>
      <c r="M992" s="20" t="n"/>
    </row>
    <row r="993">
      <c r="A993">
        <f>IF(G993="","",ROW()-1)</f>
        <v/>
      </c>
      <c r="B993" s="20" t="n"/>
      <c r="C993" s="21" t="n"/>
      <c r="M993" s="20" t="n"/>
    </row>
    <row r="994">
      <c r="A994">
        <f>IF(G994="","",ROW()-1)</f>
        <v/>
      </c>
      <c r="B994" s="20" t="n"/>
      <c r="C994" s="21" t="n"/>
      <c r="M994" s="20" t="n"/>
    </row>
    <row r="995">
      <c r="A995">
        <f>IF(G995="","",ROW()-1)</f>
        <v/>
      </c>
      <c r="B995" s="20" t="n"/>
      <c r="C995" s="21" t="n"/>
      <c r="M995" s="20" t="n"/>
    </row>
    <row r="996">
      <c r="A996">
        <f>IF(G996="","",ROW()-1)</f>
        <v/>
      </c>
      <c r="B996" s="20" t="n"/>
      <c r="C996" s="21" t="n"/>
      <c r="M996" s="20" t="n"/>
    </row>
    <row r="997">
      <c r="A997">
        <f>IF(G997="","",ROW()-1)</f>
        <v/>
      </c>
      <c r="B997" s="20" t="n"/>
      <c r="C997" s="21" t="n"/>
      <c r="M997" s="20" t="n"/>
    </row>
    <row r="998">
      <c r="A998">
        <f>IF(G998="","",ROW()-1)</f>
        <v/>
      </c>
      <c r="B998" s="20" t="n"/>
      <c r="C998" s="21" t="n"/>
      <c r="M998" s="20" t="n"/>
    </row>
    <row r="999">
      <c r="A999">
        <f>IF(G999="","",ROW()-1)</f>
        <v/>
      </c>
      <c r="B999" s="20" t="n"/>
      <c r="C999" s="21" t="n"/>
      <c r="M999" s="20" t="n"/>
    </row>
    <row r="1000">
      <c r="A1000">
        <f>IF(G1000="","",ROW()-1)</f>
        <v/>
      </c>
      <c r="B1000" s="20" t="n"/>
      <c r="C1000" s="21" t="n"/>
      <c r="M1000" s="20" t="n"/>
    </row>
    <row r="1001">
      <c r="A1001">
        <f>IF(G1001="","",ROW()-1)</f>
        <v/>
      </c>
      <c r="B1001" s="20" t="n"/>
      <c r="C1001" s="21" t="n"/>
      <c r="M1001" s="20" t="n"/>
    </row>
  </sheetData>
  <dataValidations count="4">
    <dataValidation sqref="E2:E1001" showDropDown="0" showInputMessage="0" showErrorMessage="0" allowBlank="1" type="list">
      <formula1>"JA,畜種農業"</formula1>
    </dataValidation>
    <dataValidation sqref="F2:F1001" showDropDown="0" showInputMessage="0" showErrorMessage="0" allowBlank="1" type="list">
      <formula1>"道央,道北,道東,道南"</formula1>
    </dataValidation>
    <dataValidation sqref="G2:G1001" showDropDown="0" showInputMessage="0" showErrorMessage="0" allowBlank="1" errorTitle="入力エラー" error="プルダウンから選択してください(先にエリアを選ぶと候補が絞られます)" type="list">
      <formula1>=IF($E2="",IF($F2="","",INDIRECT($F2)),INDIRECT(IF($E2="JA","JA_","CH_")&amp;$F2))</formula1>
    </dataValidation>
    <dataValidation sqref="J2:J1001" showDropDown="0" showInputMessage="0" showErrorMessage="0" allowBlank="1" type="list">
      <formula1>"不在,担当不在,担当不可,留守電,アポ獲得,再架電,断り,キーマン接触,情報収集,その他"</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D23"/>
  <sheetViews>
    <sheetView showGridLines="0" workbookViewId="0">
      <selection activeCell="A1" sqref="A1"/>
    </sheetView>
  </sheetViews>
  <sheetFormatPr baseColWidth="8" defaultRowHeight="15"/>
  <cols>
    <col width="2" customWidth="1" min="1" max="1"/>
    <col width="16" customWidth="1" min="2" max="2"/>
    <col width="28" customWidth="1" min="3" max="3"/>
    <col width="28" customWidth="1" min="4" max="4"/>
    <col width="2" customWidth="1" min="5" max="5"/>
  </cols>
  <sheetData>
    <row r="2" ht="28" customHeight="1">
      <c r="B2" s="22" t="inlineStr">
        <is>
          <t>📝 加電入力フォーム</t>
        </is>
      </c>
    </row>
    <row r="4" ht="22" customHeight="1">
      <c r="B4" s="23" t="inlineStr">
        <is>
          <t>日付</t>
        </is>
      </c>
      <c r="C4" s="24" t="n"/>
      <c r="D4" s="25" t="n"/>
    </row>
    <row r="5" ht="22" customHeight="1">
      <c r="B5" s="23" t="inlineStr">
        <is>
          <t>開始時刻</t>
        </is>
      </c>
      <c r="C5" s="26" t="n"/>
      <c r="D5" s="25" t="n"/>
    </row>
    <row r="6" ht="22" customHeight="1">
      <c r="B6" s="23" t="inlineStr">
        <is>
          <t>通話時間(分)</t>
        </is>
      </c>
      <c r="C6" s="27" t="n"/>
      <c r="D6" s="25" t="n"/>
    </row>
    <row r="7" ht="22" customHeight="1">
      <c r="B7" s="23" t="inlineStr">
        <is>
          <t>種別</t>
        </is>
      </c>
      <c r="C7" s="28" t="n"/>
      <c r="D7" s="25" t="n"/>
    </row>
    <row r="8" ht="22" customHeight="1">
      <c r="B8" s="23" t="inlineStr">
        <is>
          <t>エリア</t>
        </is>
      </c>
      <c r="C8" s="28" t="n"/>
      <c r="D8" s="25" t="n"/>
    </row>
    <row r="9" ht="22" customHeight="1">
      <c r="B9" s="23" t="inlineStr">
        <is>
          <t>企業名</t>
        </is>
      </c>
      <c r="C9" s="28" t="n"/>
      <c r="D9" s="25" t="n"/>
    </row>
    <row r="10" ht="22" customHeight="1">
      <c r="B10" s="23" t="inlineStr">
        <is>
          <t>担当者(自社)</t>
        </is>
      </c>
      <c r="C10" s="28" t="n"/>
      <c r="D10" s="25" t="n"/>
    </row>
    <row r="11" ht="22" customHeight="1">
      <c r="B11" s="23" t="inlineStr">
        <is>
          <t>相手先担当者</t>
        </is>
      </c>
      <c r="C11" s="28" t="n"/>
      <c r="D11" s="25" t="n"/>
    </row>
    <row r="12" ht="22" customHeight="1">
      <c r="B12" s="23" t="inlineStr">
        <is>
          <t>結果</t>
        </is>
      </c>
      <c r="C12" s="28" t="n"/>
      <c r="D12" s="25" t="n"/>
    </row>
    <row r="13" ht="22" customHeight="1">
      <c r="B13" s="23" t="inlineStr">
        <is>
          <t>内容メモ</t>
        </is>
      </c>
      <c r="C13" s="28" t="n"/>
      <c r="D13" s="25" t="n"/>
    </row>
    <row r="14" ht="22" customHeight="1">
      <c r="B14" s="23" t="inlineStr">
        <is>
          <t>次回ToDo</t>
        </is>
      </c>
      <c r="C14" s="28" t="n"/>
      <c r="D14" s="25" t="n"/>
    </row>
    <row r="15" ht="22" customHeight="1">
      <c r="B15" s="23" t="inlineStr">
        <is>
          <t>次回予定日</t>
        </is>
      </c>
      <c r="C15" s="24" t="n"/>
      <c r="D15" s="25" t="n"/>
    </row>
    <row r="17">
      <c r="B17" s="29" t="inlineStr">
        <is>
          <t>ショートカット</t>
        </is>
      </c>
    </row>
    <row r="18">
      <c r="B18" s="30" t="inlineStr">
        <is>
          <t>Ctrl + ;   → 今日の日付を入力</t>
        </is>
      </c>
    </row>
    <row r="19">
      <c r="B19" s="30" t="inlineStr">
        <is>
          <t>Ctrl + :   → 現在時刻を入力 (Ctrl+Shift+;)</t>
        </is>
      </c>
    </row>
    <row r="20">
      <c r="B20" s="30" t="inlineStr">
        <is>
          <t>Alt + ↓   → プルダウンを開く</t>
        </is>
      </c>
    </row>
    <row r="21">
      <c r="B21" s="30" t="inlineStr">
        <is>
          <t>Tab        → 次の入力欄へ移動</t>
        </is>
      </c>
    </row>
    <row r="23">
      <c r="B23" s="31" t="inlineStr">
        <is>
          <t>↓ ここに「登録」「クリア」ボタンを VBA で追加します (README参照)</t>
        </is>
      </c>
    </row>
  </sheetData>
  <mergeCells count="18">
    <mergeCell ref="C12:D12"/>
    <mergeCell ref="B19:D19"/>
    <mergeCell ref="C6:D6"/>
    <mergeCell ref="C7:D7"/>
    <mergeCell ref="C10:D10"/>
    <mergeCell ref="C8:D8"/>
    <mergeCell ref="C15:D15"/>
    <mergeCell ref="B23:D23"/>
    <mergeCell ref="C11:D11"/>
    <mergeCell ref="C5:D5"/>
    <mergeCell ref="B18:D18"/>
    <mergeCell ref="C14:D14"/>
    <mergeCell ref="C13:D13"/>
    <mergeCell ref="B21:D21"/>
    <mergeCell ref="C9:D9"/>
    <mergeCell ref="B2:D2"/>
    <mergeCell ref="B20:D20"/>
    <mergeCell ref="C4:D4"/>
  </mergeCells>
  <dataValidations count="4">
    <dataValidation sqref="C7" showDropDown="0" showInputMessage="0" showErrorMessage="0" allowBlank="1" type="list">
      <formula1>"JA,畜種農業"</formula1>
    </dataValidation>
    <dataValidation sqref="C8" showDropDown="0" showInputMessage="0" showErrorMessage="0" allowBlank="1" type="list">
      <formula1>"道央,道北,道東,道南"</formula1>
    </dataValidation>
    <dataValidation sqref="C9" showDropDown="0" showInputMessage="0" showErrorMessage="0" allowBlank="1" type="list">
      <formula1>=IF($C$7="",IF($C$8="","",INDIRECT($C$8)),INDIRECT(IF($C$7="JA","JA_","CH_")&amp;$C$8))</formula1>
    </dataValidation>
    <dataValidation sqref="C12" showDropDown="0" showInputMessage="0" showErrorMessage="0" allowBlank="1" type="list">
      <formula1>"不在,担当不在,担当不可,留守電,アポ獲得,再架電,断り,キーマン接触,情報収集,その他"</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AR53"/>
  <sheetViews>
    <sheetView workbookViewId="0">
      <pane xSplit="1" topLeftCell="B1" activePane="topRight" state="frozen"/>
      <selection pane="topRight" activeCell="A1" sqref="A1:AM1"/>
    </sheetView>
  </sheetViews>
  <sheetFormatPr baseColWidth="8" defaultColWidth="12.54296875" defaultRowHeight="15.75" customHeight="1"/>
  <cols>
    <col width="8" bestFit="1" customWidth="1" min="1" max="1"/>
    <col width="40" bestFit="1" customWidth="1" min="2" max="2"/>
    <col width="12.453125" bestFit="1" customWidth="1" min="3" max="3"/>
    <col width="36.81640625" bestFit="1" customWidth="1" min="4" max="4"/>
    <col width="73" bestFit="1" customWidth="1" min="5" max="5"/>
    <col width="79.26953125" bestFit="1" customWidth="1" min="6" max="6"/>
    <col width="10.54296875" bestFit="1" customWidth="1" min="7" max="7"/>
    <col width="6.81640625" bestFit="1" customWidth="1" min="8" max="8"/>
    <col width="8.7265625" bestFit="1" customWidth="1" min="9" max="9"/>
    <col width="10.54296875" bestFit="1" customWidth="1" min="10" max="11"/>
    <col width="11.54296875" bestFit="1" customWidth="1" min="12" max="12"/>
    <col width="10.54296875" bestFit="1" customWidth="1" min="13" max="13"/>
    <col width="11.54296875" bestFit="1" customWidth="1" min="14" max="14"/>
    <col width="10.54296875" bestFit="1" customWidth="1" min="15" max="16"/>
    <col width="10.1796875" bestFit="1" customWidth="1" min="17" max="17"/>
    <col width="6.81640625" bestFit="1" customWidth="1" min="18" max="18"/>
    <col width="12.453125" bestFit="1" customWidth="1" min="19" max="19"/>
    <col width="15.54296875" bestFit="1" customWidth="1" min="20" max="20"/>
    <col width="14.26953125" bestFit="1" customWidth="1" min="21" max="21"/>
    <col width="10.54296875" bestFit="1" customWidth="1" min="22" max="22"/>
    <col width="30.1796875" bestFit="1" customWidth="1" min="23" max="23"/>
    <col width="6.81640625" bestFit="1" customWidth="1" min="24" max="25"/>
    <col width="17.54296875" bestFit="1" customWidth="1" min="26" max="26"/>
    <col width="8.7265625" bestFit="1" customWidth="1" min="27" max="28"/>
    <col width="12.453125" bestFit="1" customWidth="1" min="29" max="29"/>
    <col width="8.7265625" bestFit="1" customWidth="1" min="30" max="31"/>
    <col width="18.1796875" bestFit="1" customWidth="1" min="32" max="32"/>
    <col width="10.54296875" bestFit="1" customWidth="1" min="33" max="33"/>
    <col width="8.7265625" bestFit="1" customWidth="1" min="34" max="34"/>
    <col width="10.54296875" bestFit="1" customWidth="1" min="35" max="35"/>
    <col width="12.453125" bestFit="1" customWidth="1" min="36" max="36"/>
    <col width="11.54296875" bestFit="1" customWidth="1" min="37" max="38"/>
    <col width="6.81640625" bestFit="1" customWidth="1" min="39" max="39"/>
    <col width="14" customWidth="1" min="41" max="41"/>
    <col width="14" customWidth="1" min="42" max="42"/>
    <col width="14" customWidth="1" min="43" max="43"/>
  </cols>
  <sheetData>
    <row r="1" ht="12.5" customFormat="1" customHeight="1" s="3">
      <c r="A1" t="inlineStr">
        <is>
          <t>エリア</t>
        </is>
      </c>
      <c r="B1" s="2" t="inlineStr">
        <is>
          <t>企業名</t>
        </is>
      </c>
      <c r="C1" s="2" t="inlineStr">
        <is>
          <t>ホームページ</t>
        </is>
      </c>
      <c r="D1" s="2" t="inlineStr">
        <is>
          <t>住所</t>
        </is>
      </c>
      <c r="E1" s="2" t="inlineStr">
        <is>
          <t>電話番号</t>
        </is>
      </c>
      <c r="F1" s="4" t="inlineStr">
        <is>
          <t>地域の農業特徴・特産品情報</t>
        </is>
      </c>
      <c r="G1" s="4" t="inlineStr">
        <is>
          <t>想定される課題・アプローチのポイント</t>
        </is>
      </c>
      <c r="H1" s="4" t="inlineStr">
        <is>
          <t>提案の切り口（自社サービス・強み）</t>
        </is>
      </c>
      <c r="I1" s="2" t="inlineStr">
        <is>
          <t>担当部署</t>
        </is>
      </c>
      <c r="J1" s="2" t="inlineStr">
        <is>
          <t>役職</t>
        </is>
      </c>
      <c r="K1" s="2" t="inlineStr">
        <is>
          <t>担当者</t>
        </is>
      </c>
      <c r="L1" s="2" t="inlineStr">
        <is>
          <t>活用状況</t>
        </is>
      </c>
      <c r="M1" s="2" t="inlineStr">
        <is>
          <t>実習人数</t>
        </is>
      </c>
      <c r="N1" s="2" t="inlineStr">
        <is>
          <t>実習_国籍</t>
        </is>
      </c>
      <c r="O1" s="2" t="inlineStr">
        <is>
          <t>特技人数</t>
        </is>
      </c>
      <c r="P1" s="2" t="inlineStr">
        <is>
          <t>特技_国籍</t>
        </is>
      </c>
      <c r="Q1" s="2" t="inlineStr">
        <is>
          <t>既存状況</t>
        </is>
      </c>
      <c r="R1" s="2" t="inlineStr">
        <is>
          <t>営業状況</t>
        </is>
      </c>
      <c r="S1" s="2" t="inlineStr">
        <is>
          <t>ステータス</t>
        </is>
      </c>
      <c r="T1" s="2" t="inlineStr">
        <is>
          <t>進捗</t>
        </is>
      </c>
      <c r="U1" s="2" t="inlineStr">
        <is>
          <t>初回訪問日</t>
        </is>
      </c>
      <c r="V1" s="2" t="inlineStr">
        <is>
          <t>最終コンタクト日</t>
        </is>
      </c>
      <c r="W1" s="2" t="inlineStr">
        <is>
          <t>最終経過日数</t>
        </is>
      </c>
      <c r="X1" s="2" t="inlineStr">
        <is>
          <t>訪問履歴</t>
        </is>
      </c>
      <c r="Y1" s="2" t="inlineStr">
        <is>
          <t>最終アクション（日付・結果/詳細）</t>
        </is>
      </c>
      <c r="Z1" s="2" t="inlineStr">
        <is>
          <t>日付</t>
        </is>
      </c>
      <c r="AA1" s="2" t="inlineStr">
        <is>
          <t>行動</t>
        </is>
      </c>
      <c r="AB1" s="2" t="inlineStr">
        <is>
          <t>次回アクション予定</t>
        </is>
      </c>
      <c r="AC1" s="2" t="inlineStr">
        <is>
          <t>予定日</t>
        </is>
      </c>
      <c r="AD1" s="2" t="inlineStr">
        <is>
          <t>連携元</t>
        </is>
      </c>
      <c r="AE1" s="2" t="inlineStr">
        <is>
          <t>連携元所属</t>
        </is>
      </c>
      <c r="AF1" s="2" t="inlineStr">
        <is>
          <t>連携者</t>
        </is>
      </c>
      <c r="AG1" s="2" t="inlineStr">
        <is>
          <t>連携先</t>
        </is>
      </c>
      <c r="AH1" s="2" t="inlineStr">
        <is>
          <t>担当所属</t>
        </is>
      </c>
      <c r="AI1" s="2" t="inlineStr">
        <is>
          <t>営業担当</t>
        </is>
      </c>
      <c r="AJ1" s="2" t="inlineStr">
        <is>
          <t>受注日</t>
        </is>
      </c>
      <c r="AK1" s="2" t="inlineStr">
        <is>
          <t>受注内容</t>
        </is>
      </c>
      <c r="AL1" s="2" t="inlineStr">
        <is>
          <t>配属予定日</t>
        </is>
      </c>
      <c r="AM1" s="2" t="inlineStr">
        <is>
          <t>受注_国籍</t>
        </is>
      </c>
      <c r="AN1" s="2" t="inlineStr">
        <is>
          <t>受注_人数</t>
        </is>
      </c>
      <c r="AO1" s="2" t="inlineStr">
        <is>
          <t>状況</t>
        </is>
      </c>
      <c r="AP1" s="2" t="inlineStr">
        <is>
          <t>加電回数</t>
        </is>
      </c>
      <c r="AQ1" s="2" t="inlineStr">
        <is>
          <t>最終加電日</t>
        </is>
      </c>
      <c r="AR1" s="2" t="inlineStr">
        <is>
          <t>最終結果</t>
        </is>
      </c>
    </row>
    <row r="2" ht="12.5" customHeight="1">
      <c r="A2" t="inlineStr">
        <is>
          <t>道央</t>
        </is>
      </c>
      <c r="B2" s="13" t="inlineStr">
        <is>
          <t>JA道央</t>
        </is>
      </c>
      <c r="C2" s="12" t="inlineStr">
        <is>
          <t>https://www.ja-douou.or.jp/</t>
        </is>
      </c>
      <c r="D2" s="13" t="inlineStr">
        <is>
          <t>北海道恵庭市島松仲町2丁目10-1 (〒061-1352) ※本所</t>
        </is>
      </c>
      <c r="E2" s="13" t="inlineStr">
        <is>
          <t>0123-36-1122</t>
        </is>
      </c>
      <c r="F2" s="6" t="inlineStr">
        <is>
          <t>都市近郊型の稲作、野菜、花き栽培が盛ん。</t>
        </is>
      </c>
      <c r="G2" s="1" t="inlineStr">
        <is>
          <t>多品目栽培により一年を通して労働力が必要。都市部近くのため人材の定着は比較的見込める。</t>
        </is>
      </c>
      <c r="H2" s="5" t="inlineStr">
        <is>
          <t>補助金採択を条件とした完全成果報酬型を提示し、複数農家での人材シェアリングを提案。</t>
        </is>
      </c>
      <c r="I2" s="1" t="n"/>
      <c r="J2" s="1" t="n"/>
      <c r="K2" s="1" t="n"/>
      <c r="L2" s="1" t="n"/>
      <c r="M2" s="1" t="n"/>
      <c r="N2" s="1" t="n"/>
      <c r="O2" s="1" t="n"/>
      <c r="P2" s="1" t="n"/>
      <c r="Q2" s="1" t="n"/>
      <c r="R2" s="1" t="n"/>
      <c r="S2" s="1" t="n"/>
      <c r="T2" s="1" t="n"/>
      <c r="U2" s="1" t="n"/>
      <c r="V2" s="1" t="n"/>
      <c r="W2" s="1" t="n"/>
      <c r="X2" s="1" t="n"/>
      <c r="Y2" s="1" t="n"/>
      <c r="Z2" s="1" t="n"/>
      <c r="AA2" s="1" t="n"/>
      <c r="AB2" s="1" t="n"/>
      <c r="AC2" s="1" t="n"/>
      <c r="AD2" s="1" t="n"/>
      <c r="AE2" s="1" t="n"/>
      <c r="AF2" s="1" t="n"/>
      <c r="AG2" s="1" t="n"/>
      <c r="AH2" s="1" t="inlineStr">
        <is>
          <t>BREXA CrossBorder</t>
        </is>
      </c>
      <c r="AI2" s="1" t="inlineStr">
        <is>
          <t>武田 悦郎</t>
        </is>
      </c>
      <c r="AJ2" s="1" t="n"/>
      <c r="AK2" s="1" t="n"/>
      <c r="AL2" s="1" t="n"/>
      <c r="AM2" s="1" t="n"/>
      <c r="AN2" s="1" t="n"/>
      <c r="AO2" s="1" t="n"/>
      <c r="AP2">
        <f>COUNTIFS(加電履歴!$F:$F,A2,加電履歴!$E:$E,"JAリスト")</f>
        <v/>
      </c>
      <c r="AQ2" s="10">
        <f>IFERROR(IF(COUNTIFS(加電履歴!$F:$F,A2,加電履歴!$E:$E,"JAリスト")=0,"",MAXIFS(加電履歴!$B:$B,加電履歴!$F:$F,A2,加電履歴!$E:$E,"JAリスト")),"")</f>
        <v/>
      </c>
      <c r="AR2">
        <f>IFERROR(IF(COUNTIFS(加電履歴!$F:$F,A2,加電履歴!$E:$E,"JAリスト")=0,"",INDEX(加電履歴!$I:$I,MATCH(1,(加電履歴!$F:$F=A2)*(加電履歴!$E:$E="JAリスト")*(加電履歴!$B:$B=MAXIFS(加電履歴!$B:$B,加電履歴!$F:$F,A2,加電履歴!$E:$E,"JAリスト")),0))),"")</f>
        <v/>
      </c>
    </row>
    <row r="3" ht="12.5" customHeight="1">
      <c r="A3" t="inlineStr">
        <is>
          <t>道央</t>
        </is>
      </c>
      <c r="B3" s="13" t="inlineStr">
        <is>
          <t>JA北いしかり (旧JA北石狩)</t>
        </is>
      </c>
      <c r="C3" s="12" t="inlineStr">
        <is>
          <t>https://www.ja-kitaishikari.or.jp/</t>
        </is>
      </c>
      <c r="D3" s="13" t="inlineStr">
        <is>
          <t>北海道石狩郡当別町錦町53-57 (〒061-0295) ※本所は当別町</t>
        </is>
      </c>
      <c r="E3" s="13" t="inlineStr">
        <is>
          <t>0133-23-2530</t>
        </is>
      </c>
      <c r="F3" s="1" t="inlineStr">
        <is>
          <t>にんじん、大根などの根菜類、稲作。</t>
        </is>
      </c>
      <c r="G3" s="1" t="inlineStr">
        <is>
          <t>収穫期における短期集中的な人員不足。選果場での労働者の高齢化。</t>
        </is>
      </c>
      <c r="H3" s="1" t="inlineStr">
        <is>
          <t>選果場での業務定着に向け、語学教育ノウハウを活かした入国前後の手厚い日本語支援をアピール。</t>
        </is>
      </c>
      <c r="I3" s="1" t="n"/>
      <c r="J3" s="1" t="n"/>
      <c r="K3" s="1" t="n"/>
      <c r="L3" s="1" t="n"/>
      <c r="M3" s="1" t="n"/>
      <c r="N3" s="1" t="n"/>
      <c r="O3" s="1" t="n"/>
      <c r="P3" s="1" t="n"/>
      <c r="Q3" s="1" t="n"/>
      <c r="R3" s="1" t="n"/>
      <c r="S3" s="1" t="n"/>
      <c r="T3" s="1" t="n"/>
      <c r="U3" s="1" t="n"/>
      <c r="V3" s="1" t="n"/>
      <c r="W3" s="1" t="n"/>
      <c r="X3" s="1" t="n"/>
      <c r="Y3" s="1" t="n"/>
      <c r="Z3" s="1" t="n"/>
      <c r="AA3" s="1" t="n"/>
      <c r="AB3" s="1" t="n"/>
      <c r="AC3" s="1" t="n"/>
      <c r="AD3" s="1" t="n"/>
      <c r="AE3" s="1" t="n"/>
      <c r="AF3" s="1" t="n"/>
      <c r="AG3" s="1" t="n"/>
      <c r="AH3" s="1" t="inlineStr">
        <is>
          <t>BREXA CrossBorder</t>
        </is>
      </c>
      <c r="AI3" s="1" t="inlineStr">
        <is>
          <t>武田 悦郎</t>
        </is>
      </c>
      <c r="AJ3" s="1" t="n"/>
      <c r="AK3" s="1" t="n"/>
      <c r="AL3" s="1" t="n"/>
      <c r="AM3" s="1" t="n"/>
      <c r="AN3" s="1" t="n"/>
      <c r="AO3" s="1" t="n"/>
      <c r="AP3">
        <f>COUNTIFS(加電履歴!$F:$F,A3,加電履歴!$E:$E,"JAリスト")</f>
        <v/>
      </c>
      <c r="AQ3" s="10">
        <f>IFERROR(IF(COUNTIFS(加電履歴!$F:$F,A3,加電履歴!$E:$E,"JAリスト")=0,"",MAXIFS(加電履歴!$B:$B,加電履歴!$F:$F,A3,加電履歴!$E:$E,"JAリスト")),"")</f>
        <v/>
      </c>
      <c r="AR3">
        <f>IFERROR(IF(COUNTIFS(加電履歴!$F:$F,A3,加電履歴!$E:$E,"JAリスト")=0,"",INDEX(加電履歴!$I:$I,MATCH(1,(加電履歴!$F:$F=A3)*(加電履歴!$E:$E="JAリスト")*(加電履歴!$B:$B=MAXIFS(加電履歴!$B:$B,加電履歴!$F:$F,A3,加電履歴!$E:$E,"JAリスト")),0))),"")</f>
        <v/>
      </c>
    </row>
    <row r="4" ht="12.5" customHeight="1">
      <c r="A4" t="inlineStr">
        <is>
          <t>道央</t>
        </is>
      </c>
      <c r="B4" s="13" t="inlineStr">
        <is>
          <t>JA新しのつ</t>
        </is>
      </c>
      <c r="C4" s="12" t="inlineStr">
        <is>
          <t>https://www.ja-shinshinotsu.or.jp/</t>
        </is>
      </c>
      <c r="D4" s="13" t="inlineStr">
        <is>
          <t>北海道石狩郡新篠津村第47線北13 (〒068-1193)</t>
        </is>
      </c>
      <c r="E4" s="13" t="inlineStr">
        <is>
          <t>0126-57-2311</t>
        </is>
      </c>
      <c r="F4" s="1" t="inlineStr">
        <is>
          <t>クリーン農業を推進。米、玉ねぎ、白菜。</t>
        </is>
      </c>
      <c r="G4" s="1" t="inlineStr">
        <is>
          <t>村単位での労働力確保が難しく、外部からの人材流入が不可欠。</t>
        </is>
      </c>
      <c r="H4" s="1" t="inlineStr">
        <is>
          <t>村全体での受け入れ体制構築に向け、語学教育と人材紹介のハイブリッド支援を成果報酬で提案。</t>
        </is>
      </c>
      <c r="I4" s="1" t="n"/>
      <c r="J4" s="1" t="n"/>
      <c r="K4" s="1" t="n"/>
      <c r="L4" s="1" t="n"/>
      <c r="M4" s="1" t="n"/>
      <c r="N4" s="1" t="n"/>
      <c r="O4" s="1" t="n"/>
      <c r="P4" s="1" t="n"/>
      <c r="Q4" s="1" t="n"/>
      <c r="R4" s="1" t="n"/>
      <c r="S4" s="1" t="n"/>
      <c r="T4" s="1" t="n"/>
      <c r="U4" s="1" t="n"/>
      <c r="V4" s="1" t="n"/>
      <c r="W4" s="1" t="n"/>
      <c r="X4" s="1" t="n"/>
      <c r="Y4" s="1" t="n"/>
      <c r="Z4" s="1" t="n"/>
      <c r="AA4" s="1" t="n"/>
      <c r="AB4" s="1" t="n"/>
      <c r="AC4" s="1" t="n"/>
      <c r="AD4" s="1" t="n"/>
      <c r="AE4" s="1" t="n"/>
      <c r="AF4" s="1" t="n"/>
      <c r="AG4" s="1" t="n"/>
      <c r="AH4" s="1" t="inlineStr">
        <is>
          <t>BREXA CrossBorder</t>
        </is>
      </c>
      <c r="AI4" s="1" t="inlineStr">
        <is>
          <t>武田 悦郎</t>
        </is>
      </c>
      <c r="AJ4" s="1" t="n"/>
      <c r="AK4" s="1" t="n"/>
      <c r="AL4" s="1" t="n"/>
      <c r="AM4" s="1" t="n"/>
      <c r="AN4" s="1" t="n"/>
      <c r="AO4" s="1" t="n"/>
      <c r="AP4">
        <f>COUNTIFS(加電履歴!$F:$F,A4,加電履歴!$E:$E,"JAリスト")</f>
        <v/>
      </c>
      <c r="AQ4" s="10">
        <f>IFERROR(IF(COUNTIFS(加電履歴!$F:$F,A4,加電履歴!$E:$E,"JAリスト")=0,"",MAXIFS(加電履歴!$B:$B,加電履歴!$F:$F,A4,加電履歴!$E:$E,"JAリスト")),"")</f>
        <v/>
      </c>
      <c r="AR4">
        <f>IFERROR(IF(COUNTIFS(加電履歴!$F:$F,A4,加電履歴!$E:$E,"JAリスト")=0,"",INDEX(加電履歴!$I:$I,MATCH(1,(加電履歴!$F:$F=A4)*(加電履歴!$E:$E="JAリスト")*(加電履歴!$B:$B=MAXIFS(加電履歴!$B:$B,加電履歴!$F:$F,A4,加電履歴!$E:$E,"JAリスト")),0))),"")</f>
        <v/>
      </c>
    </row>
    <row r="5" ht="12.5" customHeight="1">
      <c r="A5" t="inlineStr">
        <is>
          <t>道央</t>
        </is>
      </c>
      <c r="B5" s="13" t="inlineStr">
        <is>
          <t>JAいわみざわ</t>
        </is>
      </c>
      <c r="C5" s="12" t="inlineStr">
        <is>
          <t>https://ja-iwamizawa.or.jp/</t>
        </is>
      </c>
      <c r="D5" s="13" t="inlineStr">
        <is>
          <t>北海道岩見沢市2条西1丁目1番地 (〒068-0022) ※新本所</t>
        </is>
      </c>
      <c r="E5" s="13" t="inlineStr">
        <is>
          <t>0126-25-2211</t>
        </is>
      </c>
      <c r="F5" s="1" t="inlineStr">
        <is>
          <t>道内有数の稲作地帯。玉ねぎや小麦も大規模。</t>
        </is>
      </c>
      <c r="G5" s="1" t="inlineStr">
        <is>
          <t>大型機械オペレーターの補助や、玉ねぎの収穫・選別作業の人手不足。</t>
        </is>
      </c>
      <c r="H5" s="1" t="inlineStr">
        <is>
          <t>特定技能人材の提案とともに、初期費用ゼロの補助金活用スキームで導入ハードルを下げる。</t>
        </is>
      </c>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inlineStr">
        <is>
          <t>BREXA CrossBorder</t>
        </is>
      </c>
      <c r="AI5" s="1" t="inlineStr">
        <is>
          <t>武田 悦郎</t>
        </is>
      </c>
      <c r="AJ5" s="1" t="n"/>
      <c r="AK5" s="1" t="n"/>
      <c r="AL5" s="1" t="n"/>
      <c r="AM5" s="1" t="n"/>
      <c r="AN5" s="1" t="n"/>
      <c r="AO5" s="1" t="n"/>
      <c r="AP5">
        <f>COUNTIFS(加電履歴!$F:$F,A5,加電履歴!$E:$E,"JAリスト")</f>
        <v/>
      </c>
      <c r="AQ5" s="10">
        <f>IFERROR(IF(COUNTIFS(加電履歴!$F:$F,A5,加電履歴!$E:$E,"JAリスト")=0,"",MAXIFS(加電履歴!$B:$B,加電履歴!$F:$F,A5,加電履歴!$E:$E,"JAリスト")),"")</f>
        <v/>
      </c>
      <c r="AR5">
        <f>IFERROR(IF(COUNTIFS(加電履歴!$F:$F,A5,加電履歴!$E:$E,"JAリスト")=0,"",INDEX(加電履歴!$I:$I,MATCH(1,(加電履歴!$F:$F=A5)*(加電履歴!$E:$E="JAリスト")*(加電履歴!$B:$B=MAXIFS(加電履歴!$B:$B,加電履歴!$F:$F,A5,加電履歴!$E:$E,"JAリスト")),0))),"")</f>
        <v/>
      </c>
    </row>
    <row r="6" ht="12.5" customHeight="1">
      <c r="A6" t="inlineStr">
        <is>
          <t>道央</t>
        </is>
      </c>
      <c r="B6" s="13" t="inlineStr">
        <is>
          <t>JAみねのぶ</t>
        </is>
      </c>
      <c r="C6" s="12" t="inlineStr">
        <is>
          <t>http://www.ja-minenobu.or.jp/</t>
        </is>
      </c>
      <c r="D6" s="13" t="inlineStr">
        <is>
          <t>北海道美唄市峰延町本町1862-1</t>
        </is>
      </c>
      <c r="E6" s="13" t="inlineStr">
        <is>
          <t>0126-67-2111</t>
        </is>
      </c>
      <c r="F6" s="1" t="inlineStr">
        <is>
          <t>米、メロン、アスパラなどの高付加価値作物。</t>
        </is>
      </c>
      <c r="G6" s="1" t="inlineStr">
        <is>
          <t>手作業が必要な収穫作業において、繊細な作業ができる人材が求められる。</t>
        </is>
      </c>
      <c r="H6" s="1" t="inlineStr">
        <is>
          <t>やさしい日本語講座を通じた細やかなコミュニケーション支援を強調し、作業ミスの防止をアピール。</t>
        </is>
      </c>
      <c r="I6" s="1" t="n"/>
      <c r="J6" s="1" t="n"/>
      <c r="K6" s="1" t="n"/>
      <c r="L6" s="1" t="n"/>
      <c r="M6" s="1" t="n"/>
      <c r="N6" s="1" t="n"/>
      <c r="O6" s="1" t="n"/>
      <c r="P6" s="1" t="n"/>
      <c r="Q6" s="1" t="n"/>
      <c r="R6" s="1" t="n"/>
      <c r="S6" s="1" t="n"/>
      <c r="T6" s="1" t="n"/>
      <c r="U6" s="1" t="n"/>
      <c r="V6" s="1" t="n"/>
      <c r="W6" s="1" t="n"/>
      <c r="X6" s="1" t="n"/>
      <c r="Y6" s="1" t="n"/>
      <c r="Z6" s="1" t="n"/>
      <c r="AA6" s="1" t="n"/>
      <c r="AB6" s="1" t="n"/>
      <c r="AC6" s="1" t="n"/>
      <c r="AD6" s="1" t="n"/>
      <c r="AE6" s="1" t="n"/>
      <c r="AF6" s="1" t="n"/>
      <c r="AG6" s="1" t="n"/>
      <c r="AH6" s="1" t="inlineStr">
        <is>
          <t>BREXA CrossBorder</t>
        </is>
      </c>
      <c r="AI6" s="1" t="inlineStr">
        <is>
          <t>武田 悦郎</t>
        </is>
      </c>
      <c r="AJ6" s="1" t="n"/>
      <c r="AK6" s="1" t="n"/>
      <c r="AL6" s="1" t="n"/>
      <c r="AM6" s="1" t="n"/>
      <c r="AN6" s="1" t="n"/>
      <c r="AO6" s="1" t="n"/>
      <c r="AP6">
        <f>COUNTIFS(加電履歴!$F:$F,A6,加電履歴!$E:$E,"JAリスト")</f>
        <v/>
      </c>
      <c r="AQ6" s="10">
        <f>IFERROR(IF(COUNTIFS(加電履歴!$F:$F,A6,加電履歴!$E:$E,"JAリスト")=0,"",MAXIFS(加電履歴!$B:$B,加電履歴!$F:$F,A6,加電履歴!$E:$E,"JAリスト")),"")</f>
        <v/>
      </c>
      <c r="AR6">
        <f>IFERROR(IF(COUNTIFS(加電履歴!$F:$F,A6,加電履歴!$E:$E,"JAリスト")=0,"",INDEX(加電履歴!$I:$I,MATCH(1,(加電履歴!$F:$F=A6)*(加電履歴!$E:$E="JAリスト")*(加電履歴!$B:$B=MAXIFS(加電履歴!$B:$B,加電履歴!$F:$F,A6,加電履歴!$E:$E,"JAリスト")),0))),"")</f>
        <v/>
      </c>
    </row>
    <row r="7" ht="12.5" customHeight="1">
      <c r="A7" t="inlineStr">
        <is>
          <t>道央</t>
        </is>
      </c>
      <c r="B7" s="13" t="inlineStr">
        <is>
          <t>JAびばい</t>
        </is>
      </c>
      <c r="C7" s="12" t="inlineStr">
        <is>
          <t>https://www.ja-bibai.or.jp/</t>
        </is>
      </c>
      <c r="D7" s="13" t="inlineStr">
        <is>
          <t>北海道美唄市大通東1条北1-2-1</t>
        </is>
      </c>
      <c r="E7" s="13" t="inlineStr">
        <is>
          <t>0126-63-2162</t>
        </is>
      </c>
      <c r="F7" s="1" t="inlineStr">
        <is>
          <t>米、グリーンアスパラ、雪中キャベツ。</t>
        </is>
      </c>
      <c r="G7" s="1" t="inlineStr">
        <is>
          <t>冬季の特産品もあり、年間を通した労働力の確保が課題。</t>
        </is>
      </c>
      <c r="H7" s="1" t="inlineStr">
        <is>
          <t>通年雇用を前提とした人材配置。補助金活用によるコスト削減効果をシミュレーションして提示。</t>
        </is>
      </c>
      <c r="I7" s="1" t="n"/>
      <c r="J7" s="1" t="n"/>
      <c r="K7" s="1" t="n"/>
      <c r="L7" s="1" t="n"/>
      <c r="M7" s="1" t="n"/>
      <c r="N7" s="1" t="n"/>
      <c r="O7" s="1" t="n"/>
      <c r="P7" s="1" t="n"/>
      <c r="Q7" s="1" t="n"/>
      <c r="R7" s="1" t="n"/>
      <c r="S7" s="1" t="n"/>
      <c r="T7" s="1" t="n"/>
      <c r="U7" s="1" t="n"/>
      <c r="V7" s="1" t="n"/>
      <c r="W7" s="1" t="n"/>
      <c r="X7" s="1" t="n"/>
      <c r="Y7" s="1" t="n"/>
      <c r="Z7" s="1" t="n"/>
      <c r="AA7" s="1" t="n"/>
      <c r="AB7" s="1" t="n"/>
      <c r="AC7" s="1" t="n"/>
      <c r="AD7" s="1" t="n"/>
      <c r="AE7" s="1" t="n"/>
      <c r="AF7" s="1" t="n"/>
      <c r="AG7" s="1" t="n"/>
      <c r="AH7" s="1" t="inlineStr">
        <is>
          <t>BREXA CrossBorder</t>
        </is>
      </c>
      <c r="AI7" s="1" t="inlineStr">
        <is>
          <t>武田 悦郎</t>
        </is>
      </c>
      <c r="AJ7" s="1" t="n"/>
      <c r="AK7" s="1" t="n"/>
      <c r="AL7" s="1" t="n"/>
      <c r="AM7" s="1" t="n"/>
      <c r="AN7" s="1" t="n"/>
      <c r="AO7" s="1" t="n"/>
      <c r="AP7">
        <f>COUNTIFS(加電履歴!$F:$F,A7,加電履歴!$E:$E,"JAリスト")</f>
        <v/>
      </c>
      <c r="AQ7" s="10">
        <f>IFERROR(IF(COUNTIFS(加電履歴!$F:$F,A7,加電履歴!$E:$E,"JAリスト")=0,"",MAXIFS(加電履歴!$B:$B,加電履歴!$F:$F,A7,加電履歴!$E:$E,"JAリスト")),"")</f>
        <v/>
      </c>
      <c r="AR7">
        <f>IFERROR(IF(COUNTIFS(加電履歴!$F:$F,A7,加電履歴!$E:$E,"JAリスト")=0,"",INDEX(加電履歴!$I:$I,MATCH(1,(加電履歴!$F:$F=A7)*(加電履歴!$E:$E="JAリスト")*(加電履歴!$B:$B=MAXIFS(加電履歴!$B:$B,加電履歴!$F:$F,A7,加電履歴!$E:$E,"JAリスト")),0))),"")</f>
        <v/>
      </c>
    </row>
    <row r="8" ht="12.5" customHeight="1">
      <c r="A8" t="inlineStr">
        <is>
          <t>道央</t>
        </is>
      </c>
      <c r="B8" s="13" t="inlineStr">
        <is>
          <t>JAたきかわ</t>
        </is>
      </c>
      <c r="C8" s="12" t="inlineStr">
        <is>
          <t>https://www.ja-takikawa.com/</t>
        </is>
      </c>
      <c r="D8" s="13" t="inlineStr">
        <is>
          <t>北海道滝川市本町4丁目1-31</t>
        </is>
      </c>
      <c r="E8" s="13" t="inlineStr">
        <is>
          <t>0125-22-3401</t>
        </is>
      </c>
      <c r="F8" s="1" t="inlineStr">
        <is>
          <t>りんご、米、菜の花、小麦、玉ねぎ。</t>
        </is>
      </c>
      <c r="G8" s="1" t="inlineStr">
        <is>
          <t>果樹の剪定や収穫など、技術習得が必要な作業が多い。</t>
        </is>
      </c>
      <c r="H8" s="1" t="inlineStr">
        <is>
          <t>長期就労を見据えた技能実習からの移行支援と、継続的な語学・生活サポートを提案。</t>
        </is>
      </c>
      <c r="I8" s="1" t="n"/>
      <c r="J8" s="1" t="n"/>
      <c r="K8" s="1" t="n"/>
      <c r="L8" s="1" t="n"/>
      <c r="M8" s="1" t="n"/>
      <c r="N8" s="1" t="n"/>
      <c r="O8" s="1" t="n"/>
      <c r="P8" s="1" t="n"/>
      <c r="Q8" s="1" t="n"/>
      <c r="R8" s="1" t="n"/>
      <c r="S8" s="1" t="n"/>
      <c r="T8" s="1" t="n"/>
      <c r="U8" s="1" t="n"/>
      <c r="V8" s="1" t="n"/>
      <c r="W8" s="1" t="n"/>
      <c r="X8" s="1" t="n"/>
      <c r="Y8" s="1" t="n"/>
      <c r="Z8" s="1" t="n"/>
      <c r="AA8" s="1" t="n"/>
      <c r="AB8" s="1" t="n"/>
      <c r="AC8" s="1" t="n"/>
      <c r="AD8" s="1" t="n"/>
      <c r="AE8" s="1" t="n"/>
      <c r="AF8" s="1" t="n"/>
      <c r="AG8" s="1" t="n"/>
      <c r="AH8" s="1" t="inlineStr">
        <is>
          <t>BREXA CrossBorder</t>
        </is>
      </c>
      <c r="AI8" s="1" t="inlineStr">
        <is>
          <t>武田 悦郎</t>
        </is>
      </c>
      <c r="AJ8" s="1" t="n"/>
      <c r="AK8" s="1" t="n"/>
      <c r="AL8" s="1" t="n"/>
      <c r="AM8" s="1" t="n"/>
      <c r="AN8" s="1" t="n"/>
      <c r="AO8" s="1" t="n"/>
      <c r="AP8">
        <f>COUNTIFS(加電履歴!$F:$F,A8,加電履歴!$E:$E,"JAリスト")</f>
        <v/>
      </c>
      <c r="AQ8" s="10">
        <f>IFERROR(IF(COUNTIFS(加電履歴!$F:$F,A8,加電履歴!$E:$E,"JAリスト")=0,"",MAXIFS(加電履歴!$B:$B,加電履歴!$F:$F,A8,加電履歴!$E:$E,"JAリスト")),"")</f>
        <v/>
      </c>
      <c r="AR8">
        <f>IFERROR(IF(COUNTIFS(加電履歴!$F:$F,A8,加電履歴!$E:$E,"JAリスト")=0,"",INDEX(加電履歴!$I:$I,MATCH(1,(加電履歴!$F:$F=A8)*(加電履歴!$E:$E="JAリスト")*(加電履歴!$B:$B=MAXIFS(加電履歴!$B:$B,加電履歴!$F:$F,A8,加電履歴!$E:$E,"JAリスト")),0))),"")</f>
        <v/>
      </c>
    </row>
    <row r="9" ht="12.5" customHeight="1">
      <c r="A9" t="inlineStr">
        <is>
          <t>道央</t>
        </is>
      </c>
      <c r="B9" s="13" t="inlineStr">
        <is>
          <t>JA新すながわ</t>
        </is>
      </c>
      <c r="C9" s="12" t="inlineStr">
        <is>
          <t>https://jashinsunagawa.or.jp/</t>
        </is>
      </c>
      <c r="D9" s="13" t="inlineStr">
        <is>
          <t>北海道砂川市東1条南1-1-20</t>
        </is>
      </c>
      <c r="E9" s="13" t="inlineStr">
        <is>
          <t>0125-54-3181</t>
        </is>
      </c>
      <c r="F9" s="1" t="inlineStr">
        <is>
          <t>ゆめぴりか等の高品質米、トマト。</t>
        </is>
      </c>
      <c r="G9" s="1" t="inlineStr">
        <is>
          <t>ハウス栽培における温度管理や収穫作業の労働力不足。</t>
        </is>
      </c>
      <c r="H9" s="1" t="inlineStr">
        <is>
          <t>リスクのない完全成果報酬型モデルを強調し、初めての外国人材受け入れテスト導入を打診。</t>
        </is>
      </c>
      <c r="I9" s="1" t="n"/>
      <c r="J9" s="1" t="n"/>
      <c r="K9" s="1" t="n"/>
      <c r="L9" s="1" t="n"/>
      <c r="M9" s="1" t="n"/>
      <c r="N9" s="1" t="n"/>
      <c r="O9" s="1" t="n"/>
      <c r="P9" s="1" t="n"/>
      <c r="Q9" s="1" t="n"/>
      <c r="R9" s="1" t="n"/>
      <c r="S9" s="1" t="n"/>
      <c r="T9" s="1" t="n"/>
      <c r="U9" s="1" t="n"/>
      <c r="V9" s="1" t="n"/>
      <c r="W9" s="1" t="n"/>
      <c r="X9" s="1" t="n"/>
      <c r="Y9" s="1" t="n"/>
      <c r="Z9" s="1" t="n"/>
      <c r="AA9" s="1" t="n"/>
      <c r="AB9" s="1" t="n"/>
      <c r="AC9" s="1" t="n"/>
      <c r="AD9" s="1" t="n"/>
      <c r="AE9" s="1" t="n"/>
      <c r="AF9" s="1" t="n"/>
      <c r="AG9" s="1" t="n"/>
      <c r="AH9" s="1" t="inlineStr">
        <is>
          <t>BREXA CrossBorder</t>
        </is>
      </c>
      <c r="AI9" s="1" t="inlineStr">
        <is>
          <t>武田 悦郎</t>
        </is>
      </c>
      <c r="AJ9" s="1" t="n"/>
      <c r="AK9" s="1" t="n"/>
      <c r="AL9" s="1" t="n"/>
      <c r="AM9" s="1" t="n"/>
      <c r="AN9" s="1" t="n"/>
      <c r="AO9" s="1" t="n"/>
      <c r="AP9">
        <f>COUNTIFS(加電履歴!$F:$F,A9,加電履歴!$E:$E,"JAリスト")</f>
        <v/>
      </c>
      <c r="AQ9" s="10">
        <f>IFERROR(IF(COUNTIFS(加電履歴!$F:$F,A9,加電履歴!$E:$E,"JAリスト")=0,"",MAXIFS(加電履歴!$B:$B,加電履歴!$F:$F,A9,加電履歴!$E:$E,"JAリスト")),"")</f>
        <v/>
      </c>
      <c r="AR9">
        <f>IFERROR(IF(COUNTIFS(加電履歴!$F:$F,A9,加電履歴!$E:$E,"JAリスト")=0,"",INDEX(加電履歴!$I:$I,MATCH(1,(加電履歴!$F:$F=A9)*(加電履歴!$E:$E="JAリスト")*(加電履歴!$B:$B=MAXIFS(加電履歴!$B:$B,加電履歴!$F:$F,A9,加電履歴!$E:$E,"JAリスト")),0))),"")</f>
        <v/>
      </c>
    </row>
    <row r="10" ht="12.5" customHeight="1">
      <c r="A10" t="inlineStr">
        <is>
          <t>道央</t>
        </is>
      </c>
      <c r="B10" s="13" t="inlineStr">
        <is>
          <t>JA月形町</t>
        </is>
      </c>
      <c r="C10" s="12" t="inlineStr">
        <is>
          <t>https://www.hamanasu.to/ja-moon/</t>
        </is>
      </c>
      <c r="D10" s="13" t="inlineStr">
        <is>
          <t>北海道樺戸郡月形町1069番地</t>
        </is>
      </c>
      <c r="E10" s="13" t="inlineStr">
        <is>
          <t>0126-53-2111</t>
        </is>
      </c>
      <c r="F10" s="1" t="inlineStr">
        <is>
          <t>花き（切り花）、メロン、スイカ、トマト。</t>
        </is>
      </c>
      <c r="G10" s="1" t="inlineStr">
        <is>
          <t>花き栽培は手作業が多く、繁忙期の労働力確保が死活問題。</t>
        </is>
      </c>
      <c r="H10" s="1" t="inlineStr">
        <is>
          <t>繊細な作業指示が伝わるよう、独自の語学教育プログラム（異文化理解・日本語講座）を強みとする。</t>
        </is>
      </c>
      <c r="I10" s="1" t="n"/>
      <c r="J10" s="1" t="n"/>
      <c r="K10" s="1" t="n"/>
      <c r="L10" s="1" t="n"/>
      <c r="M10" s="1" t="n"/>
      <c r="N10" s="1" t="n"/>
      <c r="O10" s="1" t="n"/>
      <c r="P10" s="1" t="n"/>
      <c r="Q10" s="1" t="n"/>
      <c r="R10" s="1" t="n"/>
      <c r="S10" s="1" t="n"/>
      <c r="T10" s="1" t="n"/>
      <c r="U10" s="1" t="n"/>
      <c r="V10" s="1" t="n"/>
      <c r="W10" s="1" t="n"/>
      <c r="X10" s="1" t="n"/>
      <c r="Y10" s="1" t="n"/>
      <c r="Z10" s="1" t="n"/>
      <c r="AA10" s="1" t="n"/>
      <c r="AB10" s="1" t="n"/>
      <c r="AC10" s="1" t="n"/>
      <c r="AD10" s="1" t="n"/>
      <c r="AE10" s="1" t="n"/>
      <c r="AF10" s="1" t="n"/>
      <c r="AG10" s="1" t="n"/>
      <c r="AH10" s="1" t="inlineStr">
        <is>
          <t>BREXA CrossBorder</t>
        </is>
      </c>
      <c r="AI10" s="1" t="inlineStr">
        <is>
          <t>武田 悦郎</t>
        </is>
      </c>
      <c r="AJ10" s="1" t="n"/>
      <c r="AK10" s="1" t="n"/>
      <c r="AL10" s="1" t="n"/>
      <c r="AM10" s="1" t="n"/>
      <c r="AN10" s="1" t="n"/>
      <c r="AO10" s="1" t="n"/>
      <c r="AP10">
        <f>COUNTIFS(加電履歴!$F:$F,A10,加電履歴!$E:$E,"JAリスト")</f>
        <v/>
      </c>
      <c r="AQ10" s="10">
        <f>IFERROR(IF(COUNTIFS(加電履歴!$F:$F,A10,加電履歴!$E:$E,"JAリスト")=0,"",MAXIFS(加電履歴!$B:$B,加電履歴!$F:$F,A10,加電履歴!$E:$E,"JAリスト")),"")</f>
        <v/>
      </c>
      <c r="AR10">
        <f>IFERROR(IF(COUNTIFS(加電履歴!$F:$F,A10,加電履歴!$E:$E,"JAリスト")=0,"",INDEX(加電履歴!$I:$I,MATCH(1,(加電履歴!$F:$F=A10)*(加電履歴!$E:$E="JAリスト")*(加電履歴!$B:$B=MAXIFS(加電履歴!$B:$B,加電履歴!$F:$F,A10,加電履歴!$E:$E,"JAリスト")),0))),"")</f>
        <v/>
      </c>
    </row>
    <row r="11" ht="12.5" customHeight="1">
      <c r="A11" t="inlineStr">
        <is>
          <t>道央</t>
        </is>
      </c>
      <c r="B11" s="13" t="inlineStr">
        <is>
          <t>JAきたそらち</t>
        </is>
      </c>
      <c r="C11" s="12" t="inlineStr">
        <is>
          <t>https://www.ja-kitasorachi.com/</t>
        </is>
      </c>
      <c r="D11" s="13" t="inlineStr">
        <is>
          <t>北海道深川市深川町字メム10号線山3線5850番地 (〒074-0015)</t>
        </is>
      </c>
      <c r="E11" s="13" t="inlineStr">
        <is>
          <t>0164-22-6600</t>
        </is>
      </c>
      <c r="F11" s="1" t="inlineStr">
        <is>
          <t>米、そば、りんご、メロン。</t>
        </is>
      </c>
      <c r="G11" s="1" t="inlineStr">
        <is>
          <t>そばや米の大規模栽培における収穫補助、選果場での人材不足。</t>
        </is>
      </c>
      <c r="H11" s="1" t="inlineStr">
        <is>
          <t>補助金申請サポートを含む一気通貫の支援体制を提示し、組合員（農家）への直接紹介を仰ぐ。</t>
        </is>
      </c>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inlineStr">
        <is>
          <t>BREXA CrossBorder</t>
        </is>
      </c>
      <c r="AI11" s="1" t="inlineStr">
        <is>
          <t>武田 悦郎</t>
        </is>
      </c>
      <c r="AJ11" s="1" t="n"/>
      <c r="AK11" s="1" t="n"/>
      <c r="AL11" s="1" t="n"/>
      <c r="AM11" s="1" t="n"/>
      <c r="AN11" s="1" t="n"/>
      <c r="AO11" s="1" t="n"/>
      <c r="AP11">
        <f>COUNTIFS(加電履歴!$F:$F,A11,加電履歴!$E:$E,"JAリスト")</f>
        <v/>
      </c>
      <c r="AQ11" s="10">
        <f>IFERROR(IF(COUNTIFS(加電履歴!$F:$F,A11,加電履歴!$E:$E,"JAリスト")=0,"",MAXIFS(加電履歴!$B:$B,加電履歴!$F:$F,A11,加電履歴!$E:$E,"JAリスト")),"")</f>
        <v/>
      </c>
      <c r="AR11">
        <f>IFERROR(IF(COUNTIFS(加電履歴!$F:$F,A11,加電履歴!$E:$E,"JAリスト")=0,"",INDEX(加電履歴!$I:$I,MATCH(1,(加電履歴!$F:$F=A11)*(加電履歴!$E:$E="JAリスト")*(加電履歴!$B:$B=MAXIFS(加電履歴!$B:$B,加電履歴!$F:$F,A11,加電履歴!$E:$E,"JAリスト")),0))),"")</f>
        <v/>
      </c>
    </row>
    <row r="12" ht="12.5" customHeight="1">
      <c r="A12" t="inlineStr">
        <is>
          <t>道央</t>
        </is>
      </c>
      <c r="B12" s="13" t="inlineStr">
        <is>
          <t>JA北いぶき</t>
        </is>
      </c>
      <c r="C12" s="12" t="inlineStr">
        <is>
          <t>https://www.ja-kitaibuki.or.jp/</t>
        </is>
      </c>
      <c r="D12" s="13" t="inlineStr">
        <is>
          <t>北海道雨竜郡秩父別町1298-8 (〒078-2102) ※本所・秩父別支所</t>
        </is>
      </c>
      <c r="E12" s="13" t="inlineStr">
        <is>
          <t>0164-33-2011</t>
        </is>
      </c>
      <c r="F12" s="1" t="inlineStr">
        <is>
          <t>トマト、ブロッコリー、米。</t>
        </is>
      </c>
      <c r="G12" s="1" t="inlineStr">
        <is>
          <t>鮮度が命の作物において、収穫タイミングを逃さないための人員確保。</t>
        </is>
      </c>
      <c r="H12" s="1" t="inlineStr">
        <is>
          <t>語学教育の知見を活かした「現場で使える日本語」の事前教育を強調し、即戦力化をアピール。</t>
        </is>
      </c>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inlineStr">
        <is>
          <t>BREXA CrossBorder</t>
        </is>
      </c>
      <c r="AI12" s="1" t="inlineStr">
        <is>
          <t>武田 悦郎</t>
        </is>
      </c>
      <c r="AJ12" s="1" t="n"/>
      <c r="AK12" s="1" t="n"/>
      <c r="AL12" s="1" t="n"/>
      <c r="AM12" s="1" t="n"/>
      <c r="AN12" s="1" t="n"/>
      <c r="AO12" s="1" t="n"/>
      <c r="AP12">
        <f>COUNTIFS(加電履歴!$F:$F,A12,加電履歴!$E:$E,"JAリスト")</f>
        <v/>
      </c>
      <c r="AQ12" s="10">
        <f>IFERROR(IF(COUNTIFS(加電履歴!$F:$F,A12,加電履歴!$E:$E,"JAリスト")=0,"",MAXIFS(加電履歴!$B:$B,加電履歴!$F:$F,A12,加電履歴!$E:$E,"JAリスト")),"")</f>
        <v/>
      </c>
      <c r="AR12">
        <f>IFERROR(IF(COUNTIFS(加電履歴!$F:$F,A12,加電履歴!$E:$E,"JAリスト")=0,"",INDEX(加電履歴!$I:$I,MATCH(1,(加電履歴!$F:$F=A12)*(加電履歴!$E:$E="JAリスト")*(加電履歴!$B:$B=MAXIFS(加電履歴!$B:$B,加電履歴!$F:$F,A12,加電履歴!$E:$E,"JAリスト")),0))),"")</f>
        <v/>
      </c>
    </row>
    <row r="13" ht="12.5" customHeight="1">
      <c r="A13" t="inlineStr">
        <is>
          <t>道央</t>
        </is>
      </c>
      <c r="B13" s="13" t="inlineStr">
        <is>
          <t>JAピンネ</t>
        </is>
      </c>
      <c r="C13" s="12" t="inlineStr">
        <is>
          <t>https://www.japinne.or.jp/</t>
        </is>
      </c>
      <c r="D13" s="13" t="inlineStr">
        <is>
          <t>北海道樺戸郡新十津川町字中央6番地29 (〒073-1103)</t>
        </is>
      </c>
      <c r="E13" s="13" t="inlineStr">
        <is>
          <t>0125-76-2221</t>
        </is>
      </c>
      <c r="F13" s="1" t="inlineStr">
        <is>
          <t>米、メロン、アスパラガス。</t>
        </is>
      </c>
      <c r="G13" s="1" t="inlineStr">
        <is>
          <t>農業従事者の高齢化が顕著であり、若手労働力の確保が急務。</t>
        </is>
      </c>
      <c r="H13" s="1" t="inlineStr">
        <is>
          <t>初期費用の持ち出しがないスキームを説明し、若手特定技能人材による事業継承サポートを提案。</t>
        </is>
      </c>
      <c r="I13" s="1" t="n"/>
      <c r="J13" s="1" t="n"/>
      <c r="K13" s="1" t="n"/>
      <c r="L13" s="1" t="n"/>
      <c r="M13" s="1" t="n"/>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inlineStr">
        <is>
          <t>BREXA CrossBorder</t>
        </is>
      </c>
      <c r="AI13" s="1" t="inlineStr">
        <is>
          <t>武田 悦郎</t>
        </is>
      </c>
      <c r="AJ13" s="1" t="n"/>
      <c r="AK13" s="1" t="n"/>
      <c r="AL13" s="1" t="n"/>
      <c r="AM13" s="1" t="n"/>
      <c r="AN13" s="1" t="n"/>
      <c r="AO13" s="1" t="n"/>
      <c r="AP13">
        <f>COUNTIFS(加電履歴!$F:$F,A13,加電履歴!$E:$E,"JAリスト")</f>
        <v/>
      </c>
      <c r="AQ13" s="10">
        <f>IFERROR(IF(COUNTIFS(加電履歴!$F:$F,A13,加電履歴!$E:$E,"JAリスト")=0,"",MAXIFS(加電履歴!$B:$B,加電履歴!$F:$F,A13,加電履歴!$E:$E,"JAリスト")),"")</f>
        <v/>
      </c>
      <c r="AR13">
        <f>IFERROR(IF(COUNTIFS(加電履歴!$F:$F,A13,加電履歴!$E:$E,"JAリスト")=0,"",INDEX(加電履歴!$I:$I,MATCH(1,(加電履歴!$F:$F=A13)*(加電履歴!$E:$E="JAリスト")*(加電履歴!$B:$B=MAXIFS(加電履歴!$B:$B,加電履歴!$F:$F,A13,加電履歴!$E:$E,"JAリスト")),0))),"")</f>
        <v/>
      </c>
    </row>
    <row r="14" ht="12.5" customHeight="1">
      <c r="A14" t="inlineStr">
        <is>
          <t>道央</t>
        </is>
      </c>
      <c r="B14" s="13" t="inlineStr">
        <is>
          <t>JAよいち (旧JA余市町)</t>
        </is>
      </c>
      <c r="C14" s="12" t="inlineStr">
        <is>
          <t>https://ja-yoichi.or.jp/</t>
        </is>
      </c>
      <c r="D14" s="13" t="inlineStr">
        <is>
          <t>北海道余市郡余市町黒川町5丁目22番地</t>
        </is>
      </c>
      <c r="E14" s="13" t="inlineStr">
        <is>
          <t>0135-23-3121</t>
        </is>
      </c>
      <c r="F14" s="1" t="inlineStr">
        <is>
          <t>りんご、ぶどう（ワイン用含む）、さくらんぼ。</t>
        </is>
      </c>
      <c r="G14" s="1" t="inlineStr">
        <is>
          <t>ワイン用ぶどうの収穫など、季節ごとの労働ピークが激しい。</t>
        </is>
      </c>
      <c r="H14" s="1" t="inlineStr">
        <is>
          <t>農業だけでなく、飲食料品製造（ワイナリー等）の特定技能人材も視野に入れたハイブリッド提案。</t>
        </is>
      </c>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inlineStr">
        <is>
          <t>BREXA CrossBorder</t>
        </is>
      </c>
      <c r="AI14" s="1" t="inlineStr">
        <is>
          <t>武田 悦郎</t>
        </is>
      </c>
      <c r="AJ14" s="1" t="n"/>
      <c r="AK14" s="1" t="n"/>
      <c r="AL14" s="1" t="n"/>
      <c r="AM14" s="1" t="n"/>
      <c r="AN14" s="1" t="n"/>
      <c r="AO14" s="1" t="n"/>
      <c r="AP14">
        <f>COUNTIFS(加電履歴!$F:$F,A14,加電履歴!$E:$E,"JAリスト")</f>
        <v/>
      </c>
      <c r="AQ14" s="10">
        <f>IFERROR(IF(COUNTIFS(加電履歴!$F:$F,A14,加電履歴!$E:$E,"JAリスト")=0,"",MAXIFS(加電履歴!$B:$B,加電履歴!$F:$F,A14,加電履歴!$E:$E,"JAリスト")),"")</f>
        <v/>
      </c>
      <c r="AR14">
        <f>IFERROR(IF(COUNTIFS(加電履歴!$F:$F,A14,加電履歴!$E:$E,"JAリスト")=0,"",INDEX(加電履歴!$I:$I,MATCH(1,(加電履歴!$F:$F=A14)*(加電履歴!$E:$E="JAリスト")*(加電履歴!$B:$B=MAXIFS(加電履歴!$B:$B,加電履歴!$F:$F,A14,加電履歴!$E:$E,"JAリスト")),0))),"")</f>
        <v/>
      </c>
    </row>
    <row r="15" ht="12.5" customHeight="1">
      <c r="A15" t="inlineStr">
        <is>
          <t>道央</t>
        </is>
      </c>
      <c r="B15" s="13" t="inlineStr">
        <is>
          <t>JAきょうわ</t>
        </is>
      </c>
      <c r="C15" s="12" t="inlineStr">
        <is>
          <t>https://www.ja-kyouwa.jp/</t>
        </is>
      </c>
      <c r="D15" s="13" t="inlineStr">
        <is>
          <t>北海道岩内郡共和町前田167 (〒048-2201)</t>
        </is>
      </c>
      <c r="E15" s="13" t="inlineStr">
        <is>
          <t>0135-73-2121</t>
        </is>
      </c>
      <c r="F15" s="1" t="inlineStr">
        <is>
          <t>らいでんメロン、スイカ、米。</t>
        </is>
      </c>
      <c r="G15" s="1" t="inlineStr">
        <is>
          <t>ブランドフルーツの品質を維持するための、丁寧な管理作業の担い手不足。</t>
        </is>
      </c>
      <c r="H15" s="1" t="inlineStr">
        <is>
          <t>手厚い生活サポートと日本語教育により、地域に馴染み責任感を持って働く人材を約束。</t>
        </is>
      </c>
      <c r="I15" s="1" t="n"/>
      <c r="J15" s="1" t="n"/>
      <c r="K15" s="1" t="n"/>
      <c r="L15" s="1" t="n"/>
      <c r="M15" s="1" t="n"/>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inlineStr">
        <is>
          <t>BREXA CrossBorder</t>
        </is>
      </c>
      <c r="AI15" s="1" t="inlineStr">
        <is>
          <t>武田 悦郎</t>
        </is>
      </c>
      <c r="AJ15" s="1" t="n"/>
      <c r="AK15" s="1" t="n"/>
      <c r="AL15" s="1" t="n"/>
      <c r="AM15" s="1" t="n"/>
      <c r="AN15" s="1" t="n"/>
      <c r="AO15" s="1" t="n"/>
      <c r="AP15">
        <f>COUNTIFS(加電履歴!$F:$F,A15,加電履歴!$E:$E,"JAリスト")</f>
        <v/>
      </c>
      <c r="AQ15" s="10">
        <f>IFERROR(IF(COUNTIFS(加電履歴!$F:$F,A15,加電履歴!$E:$E,"JAリスト")=0,"",MAXIFS(加電履歴!$B:$B,加電履歴!$F:$F,A15,加電履歴!$E:$E,"JAリスト")),"")</f>
        <v/>
      </c>
      <c r="AR15">
        <f>IFERROR(IF(COUNTIFS(加電履歴!$F:$F,A15,加電履歴!$E:$E,"JAリスト")=0,"",INDEX(加電履歴!$I:$I,MATCH(1,(加電履歴!$F:$F=A15)*(加電履歴!$E:$E="JAリスト")*(加電履歴!$B:$B=MAXIFS(加電履歴!$B:$B,加電履歴!$F:$F,A15,加電履歴!$E:$E,"JAリスト")),0))),"")</f>
        <v/>
      </c>
    </row>
    <row r="16" ht="12.5" customHeight="1">
      <c r="A16" t="inlineStr">
        <is>
          <t>道央</t>
        </is>
      </c>
      <c r="B16" s="13" t="inlineStr">
        <is>
          <t>JA新おたる</t>
        </is>
      </c>
      <c r="C16" s="12" t="inlineStr">
        <is>
          <t>https://ja-sinotaru.jp/</t>
        </is>
      </c>
      <c r="D16" s="13" t="inlineStr">
        <is>
          <t>北海道余市郡仁木町北町3丁目4番地 (〒048-2493)</t>
        </is>
      </c>
      <c r="E16" s="13" t="inlineStr">
        <is>
          <t>0135-32-2428</t>
        </is>
      </c>
      <c r="F16" s="1" t="inlineStr">
        <is>
          <t>さくらんぼ、ぶどう、トマト。</t>
        </is>
      </c>
      <c r="G16" s="1" t="inlineStr">
        <is>
          <t>観光農園としての側面もあり、接客や直売所対応ができる人材が必要。</t>
        </is>
      </c>
      <c r="H16" s="1" t="inlineStr">
        <is>
          <t>語学教育のバックグラウンドを活かし、日本語コミュニケーションが可能な人材のスクリーニングを提案。</t>
        </is>
      </c>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inlineStr">
        <is>
          <t>BREXA CrossBorder</t>
        </is>
      </c>
      <c r="AI16" s="1" t="inlineStr">
        <is>
          <t>武田 悦郎</t>
        </is>
      </c>
      <c r="AJ16" s="1" t="n"/>
      <c r="AK16" s="1" t="n"/>
      <c r="AL16" s="1" t="n"/>
      <c r="AM16" s="1" t="n"/>
      <c r="AN16" s="1" t="n"/>
      <c r="AO16" s="1" t="n"/>
      <c r="AP16">
        <f>COUNTIFS(加電履歴!$F:$F,A16,加電履歴!$E:$E,"JAリスト")</f>
        <v/>
      </c>
      <c r="AQ16" s="10">
        <f>IFERROR(IF(COUNTIFS(加電履歴!$F:$F,A16,加電履歴!$E:$E,"JAリスト")=0,"",MAXIFS(加電履歴!$B:$B,加電履歴!$F:$F,A16,加電履歴!$E:$E,"JAリスト")),"")</f>
        <v/>
      </c>
      <c r="AR16">
        <f>IFERROR(IF(COUNTIFS(加電履歴!$F:$F,A16,加電履歴!$E:$E,"JAリスト")=0,"",INDEX(加電履歴!$I:$I,MATCH(1,(加電履歴!$F:$F=A16)*(加電履歴!$E:$E="JAリスト")*(加電履歴!$B:$B=MAXIFS(加電履歴!$B:$B,加電履歴!$F:$F,A16,加電履歴!$E:$E,"JAリスト")),0))),"")</f>
        <v/>
      </c>
    </row>
    <row r="17" ht="12.5" customHeight="1">
      <c r="A17" t="inlineStr">
        <is>
          <t>道北</t>
        </is>
      </c>
      <c r="B17" s="13" t="inlineStr">
        <is>
          <t>JAたいせつ</t>
        </is>
      </c>
      <c r="C17" s="12" t="inlineStr">
        <is>
          <t>http://www.jataisetu.or.jp/</t>
        </is>
      </c>
      <c r="D17" s="13" t="inlineStr">
        <is>
          <t>北海道旭川市東鷹栖1条3-635-58 (〒071-8101)</t>
        </is>
      </c>
      <c r="E17" s="13" t="inlineStr">
        <is>
          <t>0166-57-2345</t>
        </is>
      </c>
      <c r="F17" s="1" t="inlineStr">
        <is>
          <t>米、大豆、野菜全般。広大な水田地帯。</t>
        </is>
      </c>
      <c r="G17" s="1" t="inlineStr">
        <is>
          <t>雇用型農業への転換期にあり、労務管理のノウハウ不足。</t>
        </is>
      </c>
      <c r="H17" s="1" t="inlineStr">
        <is>
          <t>人材紹介にとどまらず、入国後の労務・生活・語学サポートを一元管理できる安心感をアピール。</t>
        </is>
      </c>
      <c r="I17" s="1" t="n"/>
      <c r="J17" s="1" t="n"/>
      <c r="K17" s="1" t="n"/>
      <c r="L17" s="1" t="n"/>
      <c r="M17" s="1" t="n"/>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inlineStr">
        <is>
          <t>BREXA CrossBorder</t>
        </is>
      </c>
      <c r="AI17" s="1" t="inlineStr">
        <is>
          <t>武田 悦郎</t>
        </is>
      </c>
      <c r="AJ17" s="1" t="n"/>
      <c r="AK17" s="1" t="n"/>
      <c r="AL17" s="1" t="n"/>
      <c r="AM17" s="1" t="n"/>
      <c r="AN17" s="1" t="n"/>
      <c r="AO17" s="1" t="n"/>
      <c r="AP17">
        <f>COUNTIFS(加電履歴!$F:$F,A17,加電履歴!$E:$E,"JAリスト")</f>
        <v/>
      </c>
      <c r="AQ17" s="10">
        <f>IFERROR(IF(COUNTIFS(加電履歴!$F:$F,A17,加電履歴!$E:$E,"JAリスト")=0,"",MAXIFS(加電履歴!$B:$B,加電履歴!$F:$F,A17,加電履歴!$E:$E,"JAリスト")),"")</f>
        <v/>
      </c>
      <c r="AR17">
        <f>IFERROR(IF(COUNTIFS(加電履歴!$F:$F,A17,加電履歴!$E:$E,"JAリスト")=0,"",INDEX(加電履歴!$I:$I,MATCH(1,(加電履歴!$F:$F=A17)*(加電履歴!$E:$E="JAリスト")*(加電履歴!$B:$B=MAXIFS(加電履歴!$B:$B,加電履歴!$F:$F,A17,加電履歴!$E:$E,"JAリスト")),0))),"")</f>
        <v/>
      </c>
    </row>
    <row r="18" ht="12.5" customHeight="1">
      <c r="A18" t="inlineStr">
        <is>
          <t>道北</t>
        </is>
      </c>
      <c r="B18" s="13" t="inlineStr">
        <is>
          <t>JA東神楽</t>
        </is>
      </c>
      <c r="C18" s="12" t="inlineStr">
        <is>
          <t>https://www.ja-higashikagura.com/</t>
        </is>
      </c>
      <c r="D18" s="13" t="inlineStr">
        <is>
          <t>北海道上川郡東神楽町</t>
        </is>
      </c>
      <c r="E18" s="13" t="inlineStr">
        <is>
          <t>0166-83-2321 (本所代表) / 0166-83-2322 (金融課)</t>
        </is>
      </c>
      <c r="F18" s="1" t="inlineStr">
        <is>
          <t>米、アスパラガス、ほうれん草。</t>
        </is>
      </c>
      <c r="G18" s="1" t="inlineStr">
        <is>
          <t>都市化が進む一方、農地維持のための労働力が不足。</t>
        </is>
      </c>
      <c r="H18" s="1" t="inlineStr">
        <is>
          <t>完全成果報酬で導入リスクを抑えつつ、都市部へのアクセスの良さを活かした定着率をアピール。</t>
        </is>
      </c>
      <c r="I18" s="1" t="n"/>
      <c r="J18" s="1" t="n"/>
      <c r="K18" s="1" t="n"/>
      <c r="L18" s="1" t="n"/>
      <c r="M18" s="1"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inlineStr">
        <is>
          <t>BREXA CrossBorder</t>
        </is>
      </c>
      <c r="AI18" s="1" t="inlineStr">
        <is>
          <t>武田 悦郎</t>
        </is>
      </c>
      <c r="AJ18" s="1" t="n"/>
      <c r="AK18" s="1" t="n"/>
      <c r="AL18" s="1" t="n"/>
      <c r="AM18" s="1" t="n"/>
      <c r="AN18" s="1" t="n"/>
      <c r="AO18" s="1" t="n"/>
      <c r="AP18">
        <f>COUNTIFS(加電履歴!$F:$F,A18,加電履歴!$E:$E,"JAリスト")</f>
        <v/>
      </c>
      <c r="AQ18" s="10">
        <f>IFERROR(IF(COUNTIFS(加電履歴!$F:$F,A18,加電履歴!$E:$E,"JAリスト")=0,"",MAXIFS(加電履歴!$B:$B,加電履歴!$F:$F,A18,加電履歴!$E:$E,"JAリスト")),"")</f>
        <v/>
      </c>
      <c r="AR18">
        <f>IFERROR(IF(COUNTIFS(加電履歴!$F:$F,A18,加電履歴!$E:$E,"JAリスト")=0,"",INDEX(加電履歴!$I:$I,MATCH(1,(加電履歴!$F:$F=A18)*(加電履歴!$E:$E="JAリスト")*(加電履歴!$B:$B=MAXIFS(加電履歴!$B:$B,加電履歴!$F:$F,A18,加電履歴!$E:$E,"JAリスト")),0))),"")</f>
        <v/>
      </c>
    </row>
    <row r="19" ht="12.5" customHeight="1">
      <c r="A19" t="inlineStr">
        <is>
          <t>道北</t>
        </is>
      </c>
      <c r="B19" s="13" t="inlineStr">
        <is>
          <t>JAひがしかわ</t>
        </is>
      </c>
      <c r="C19" s="12" t="inlineStr">
        <is>
          <t>https://www.ja-higashikawa.or.jp/</t>
        </is>
      </c>
      <c r="D19" s="13" t="inlineStr">
        <is>
          <t>北海道上川郡東川町西町1丁目5番1号 (〒071-1495)</t>
        </is>
      </c>
      <c r="E19" s="13" t="inlineStr">
        <is>
          <t>0166-82-5010</t>
        </is>
      </c>
      <c r="F19" s="1" t="inlineStr">
        <is>
          <t>東川米、大雪山の伏流水を活かした野菜。</t>
        </is>
      </c>
      <c r="G19" s="1" t="inlineStr">
        <is>
          <t>国際交流が盛んであり、外国人材に対する心理的ハードルが低い可能性。</t>
        </is>
      </c>
      <c r="H19" s="1" t="inlineStr">
        <is>
          <t>地域の国際化方針に寄り添い、異文化理解講座や日本語教育をセットにした地域共生型人材提案。</t>
        </is>
      </c>
      <c r="I19" s="1" t="n"/>
      <c r="J19" s="1" t="n"/>
      <c r="K19" s="1" t="n"/>
      <c r="L19" s="1" t="n"/>
      <c r="M19" s="1" t="n"/>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inlineStr">
        <is>
          <t>BREXA CrossBorder</t>
        </is>
      </c>
      <c r="AI19" s="1" t="inlineStr">
        <is>
          <t>武田 悦郎</t>
        </is>
      </c>
      <c r="AJ19" s="1" t="n"/>
      <c r="AK19" s="1" t="n"/>
      <c r="AL19" s="1" t="n"/>
      <c r="AM19" s="1" t="n"/>
      <c r="AN19" s="1" t="n"/>
      <c r="AO19" s="1" t="n"/>
      <c r="AP19">
        <f>COUNTIFS(加電履歴!$F:$F,A19,加電履歴!$E:$E,"JAリスト")</f>
        <v/>
      </c>
      <c r="AQ19" s="10">
        <f>IFERROR(IF(COUNTIFS(加電履歴!$F:$F,A19,加電履歴!$E:$E,"JAリスト")=0,"",MAXIFS(加電履歴!$B:$B,加電履歴!$F:$F,A19,加電履歴!$E:$E,"JAリスト")),"")</f>
        <v/>
      </c>
      <c r="AR19">
        <f>IFERROR(IF(COUNTIFS(加電履歴!$F:$F,A19,加電履歴!$E:$E,"JAリスト")=0,"",INDEX(加電履歴!$I:$I,MATCH(1,(加電履歴!$F:$F=A19)*(加電履歴!$E:$E="JAリスト")*(加電履歴!$B:$B=MAXIFS(加電履歴!$B:$B,加電履歴!$F:$F,A19,加電履歴!$E:$E,"JAリスト")),0))),"")</f>
        <v/>
      </c>
    </row>
    <row r="20" ht="12.5" customHeight="1">
      <c r="A20" t="inlineStr">
        <is>
          <t>道北</t>
        </is>
      </c>
      <c r="B20" s="13" t="inlineStr">
        <is>
          <t>JA当麻</t>
        </is>
      </c>
      <c r="C20" s="12" t="inlineStr">
        <is>
          <t>https://ja-tohma.com/</t>
        </is>
      </c>
      <c r="D20" s="13" t="inlineStr">
        <is>
          <t>北海道上川郡当麻町4条東3丁目4番63号 (〒078-1314)</t>
        </is>
      </c>
      <c r="E20" s="13" t="inlineStr">
        <is>
          <t>0166-84-2121</t>
        </is>
      </c>
      <c r="F20" s="1" t="inlineStr">
        <is>
          <t>でんすけすいか、米、きゅうり。</t>
        </is>
      </c>
      <c r="G20" s="1" t="inlineStr">
        <is>
          <t>ブランドすいかの栽培管理や出荷作業における、丁寧で確実な作業が求められる。</t>
        </is>
      </c>
      <c r="H20" s="1" t="inlineStr">
        <is>
          <t>コミュニケーションエラーを防ぐための独自の語学研修プログラムを強調し、高品質な労働力を提供。</t>
        </is>
      </c>
      <c r="I20" s="1" t="n"/>
      <c r="J20" s="1" t="n"/>
      <c r="K20" s="1" t="n"/>
      <c r="L20" s="1" t="n"/>
      <c r="M20" s="1" t="n"/>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inlineStr">
        <is>
          <t>BREXA CrossBorder</t>
        </is>
      </c>
      <c r="AI20" s="1" t="inlineStr">
        <is>
          <t>武田 悦郎</t>
        </is>
      </c>
      <c r="AJ20" s="1" t="n"/>
      <c r="AK20" s="1" t="n"/>
      <c r="AL20" s="1" t="n"/>
      <c r="AM20" s="1" t="n"/>
      <c r="AN20" s="1" t="n"/>
      <c r="AO20" s="1" t="n"/>
      <c r="AP20">
        <f>COUNTIFS(加電履歴!$F:$F,A20,加電履歴!$E:$E,"JAリスト")</f>
        <v/>
      </c>
      <c r="AQ20" s="10">
        <f>IFERROR(IF(COUNTIFS(加電履歴!$F:$F,A20,加電履歴!$E:$E,"JAリスト")=0,"",MAXIFS(加電履歴!$B:$B,加電履歴!$F:$F,A20,加電履歴!$E:$E,"JAリスト")),"")</f>
        <v/>
      </c>
      <c r="AR20">
        <f>IFERROR(IF(COUNTIFS(加電履歴!$F:$F,A20,加電履歴!$E:$E,"JAリスト")=0,"",INDEX(加電履歴!$I:$I,MATCH(1,(加電履歴!$F:$F=A20)*(加電履歴!$E:$E="JAリスト")*(加電履歴!$B:$B=MAXIFS(加電履歴!$B:$B,加電履歴!$F:$F,A20,加電履歴!$E:$E,"JAリスト")),0))),"")</f>
        <v/>
      </c>
    </row>
    <row r="21" ht="12.5" customHeight="1">
      <c r="A21" t="inlineStr">
        <is>
          <t>道北</t>
        </is>
      </c>
      <c r="B21" s="13" t="inlineStr">
        <is>
          <t>JA上川中央</t>
        </is>
      </c>
      <c r="C21" s="12" t="inlineStr">
        <is>
          <t>http://www.ja-kamikawa.or.jp/</t>
        </is>
      </c>
      <c r="D21" s="13" t="inlineStr">
        <is>
          <t>北海道上川郡愛別町字本町125番地 (〒078-1495)</t>
        </is>
      </c>
      <c r="E21" s="13" t="inlineStr">
        <is>
          <t>01658-6-5311 (代表) / 01658-6-5312 (金融部)</t>
        </is>
      </c>
      <c r="F21" s="1" t="inlineStr">
        <is>
          <t>きのこ（えのき、まいたけ等）、米。</t>
        </is>
      </c>
      <c r="G21" s="1" t="inlineStr">
        <is>
          <t>きのこ栽培は屋内での通年作業であり、安定した雇用環境があるため定着しやすい。</t>
        </is>
      </c>
      <c r="H21" s="1" t="inlineStr">
        <is>
          <t>通年雇用ができる強みを活かし、特定技能の長期受け入れと補助金連動の無リスク導入を提案。</t>
        </is>
      </c>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inlineStr">
        <is>
          <t>BREXA CrossBorder</t>
        </is>
      </c>
      <c r="AI21" s="1" t="inlineStr">
        <is>
          <t>武田 悦郎</t>
        </is>
      </c>
      <c r="AJ21" s="1" t="n"/>
      <c r="AK21" s="1" t="n"/>
      <c r="AL21" s="1" t="n"/>
      <c r="AM21" s="1" t="n"/>
      <c r="AN21" s="1" t="n"/>
      <c r="AO21" s="1" t="n"/>
      <c r="AP21">
        <f>COUNTIFS(加電履歴!$F:$F,A21,加電履歴!$E:$E,"JAリスト")</f>
        <v/>
      </c>
      <c r="AQ21" s="10">
        <f>IFERROR(IF(COUNTIFS(加電履歴!$F:$F,A21,加電履歴!$E:$E,"JAリスト")=0,"",MAXIFS(加電履歴!$B:$B,加電履歴!$F:$F,A21,加電履歴!$E:$E,"JAリスト")),"")</f>
        <v/>
      </c>
      <c r="AR21">
        <f>IFERROR(IF(COUNTIFS(加電履歴!$F:$F,A21,加電履歴!$E:$E,"JAリスト")=0,"",INDEX(加電履歴!$I:$I,MATCH(1,(加電履歴!$F:$F=A21)*(加電履歴!$E:$E="JAリスト")*(加電履歴!$B:$B=MAXIFS(加電履歴!$B:$B,加電履歴!$F:$F,A21,加電履歴!$E:$E,"JAリスト")),0))),"")</f>
        <v/>
      </c>
    </row>
    <row r="22" ht="12.5" customHeight="1">
      <c r="A22" t="inlineStr">
        <is>
          <t>道北</t>
        </is>
      </c>
      <c r="B22" s="13" t="inlineStr">
        <is>
          <t>JAぴっぷ町</t>
        </is>
      </c>
      <c r="C22" s="12" t="inlineStr">
        <is>
          <t>https://www.ja-pippu.or.jp/</t>
        </is>
      </c>
      <c r="D22" s="13" t="inlineStr">
        <is>
          <t>北海道上川郡比布町西町3-5-14</t>
        </is>
      </c>
      <c r="E22" s="13" t="inlineStr">
        <is>
          <t>0166-85-2121 ※公式サイトで再確認推奨</t>
        </is>
      </c>
      <c r="F22" s="1" t="inlineStr">
        <is>
          <t>いちご、米、千本ねぎ。</t>
        </is>
      </c>
      <c r="G22" s="1" t="inlineStr">
        <is>
          <t>いちご収穫など、腰をかがめる手作業が多く若手人材が急務。</t>
        </is>
      </c>
      <c r="H22" s="1" t="inlineStr">
        <is>
          <t>補助金採択を前提とした完全成果報酬を提示し、まずは小規模な農家からのテスト受け入れを打診。</t>
        </is>
      </c>
      <c r="I22" s="1" t="n"/>
      <c r="J22" s="1" t="n"/>
      <c r="K22" s="1" t="n"/>
      <c r="L22" s="1" t="n"/>
      <c r="M22" s="1" t="n"/>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inlineStr">
        <is>
          <t>BREXA CrossBorder</t>
        </is>
      </c>
      <c r="AI22" s="1" t="inlineStr">
        <is>
          <t>武田 悦郎</t>
        </is>
      </c>
      <c r="AJ22" s="1" t="n"/>
      <c r="AK22" s="1" t="n"/>
      <c r="AL22" s="1" t="n"/>
      <c r="AM22" s="1" t="n"/>
      <c r="AN22" s="1" t="n"/>
      <c r="AO22" s="1" t="n"/>
      <c r="AP22">
        <f>COUNTIFS(加電履歴!$F:$F,A22,加電履歴!$E:$E,"JAリスト")</f>
        <v/>
      </c>
      <c r="AQ22" s="10">
        <f>IFERROR(IF(COUNTIFS(加電履歴!$F:$F,A22,加電履歴!$E:$E,"JAリスト")=0,"",MAXIFS(加電履歴!$B:$B,加電履歴!$F:$F,A22,加電履歴!$E:$E,"JAリスト")),"")</f>
        <v/>
      </c>
      <c r="AR22">
        <f>IFERROR(IF(COUNTIFS(加電履歴!$F:$F,A22,加電履歴!$E:$E,"JAリスト")=0,"",INDEX(加電履歴!$I:$I,MATCH(1,(加電履歴!$F:$F=A22)*(加電履歴!$E:$E="JAリスト")*(加電履歴!$B:$B=MAXIFS(加電履歴!$B:$B,加電履歴!$F:$F,A22,加電履歴!$E:$E,"JAリスト")),0))),"")</f>
        <v/>
      </c>
    </row>
    <row r="23" ht="12.5" customHeight="1">
      <c r="A23" t="inlineStr">
        <is>
          <t>道北</t>
        </is>
      </c>
      <c r="B23" s="1" t="inlineStr">
        <is>
          <t>JA北ひびき</t>
        </is>
      </c>
      <c r="D23" s="1" t="inlineStr">
        <is>
          <t>士別市</t>
        </is>
      </c>
      <c r="E23" s="1" t="inlineStr">
        <is>
          <t>0165-23-2179</t>
        </is>
      </c>
      <c r="F23" s="1" t="inlineStr">
        <is>
          <t>アスパラガス、メロン、ビート、小麦。</t>
        </is>
      </c>
      <c r="G23" s="1" t="inlineStr">
        <is>
          <t>作付面積の拡大に伴い、機械操作補助や収穫・運搬の担い手が不足。</t>
        </is>
      </c>
      <c r="H23" s="1" t="inlineStr">
        <is>
          <t>語学教育と人材紹介のセット提案により、機械操作の安全指導がスムーズに行える点をアピール。</t>
        </is>
      </c>
      <c r="I23" s="1" t="n"/>
      <c r="J23" s="1" t="n"/>
      <c r="K23" s="1" t="n"/>
      <c r="L23" s="1" t="n"/>
      <c r="M23" s="1" t="n"/>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inlineStr">
        <is>
          <t>BREXA CrossBorder</t>
        </is>
      </c>
      <c r="AI23" s="1" t="inlineStr">
        <is>
          <t>武田 悦郎</t>
        </is>
      </c>
      <c r="AJ23" s="1" t="n"/>
      <c r="AK23" s="1" t="n"/>
      <c r="AL23" s="1" t="n"/>
      <c r="AM23" s="1" t="n"/>
      <c r="AN23" s="1" t="n"/>
      <c r="AO23" s="1" t="n"/>
      <c r="AP23">
        <f>COUNTIFS(加電履歴!$F:$F,A23,加電履歴!$E:$E,"JAリスト")</f>
        <v/>
      </c>
      <c r="AQ23" s="10">
        <f>IFERROR(IF(COUNTIFS(加電履歴!$F:$F,A23,加電履歴!$E:$E,"JAリスト")=0,"",MAXIFS(加電履歴!$B:$B,加電履歴!$F:$F,A23,加電履歴!$E:$E,"JAリスト")),"")</f>
        <v/>
      </c>
      <c r="AR23">
        <f>IFERROR(IF(COUNTIFS(加電履歴!$F:$F,A23,加電履歴!$E:$E,"JAリスト")=0,"",INDEX(加電履歴!$I:$I,MATCH(1,(加電履歴!$F:$F=A23)*(加電履歴!$E:$E="JAリスト")*(加電履歴!$B:$B=MAXIFS(加電履歴!$B:$B,加電履歴!$F:$F,A23,加電履歴!$E:$E,"JAリスト")),0))),"")</f>
        <v/>
      </c>
    </row>
    <row r="24" ht="12.5" customHeight="1">
      <c r="A24" t="inlineStr">
        <is>
          <t>道北</t>
        </is>
      </c>
      <c r="B24" s="13" t="inlineStr">
        <is>
          <t>JA道北なよろ (旧JA名寄)</t>
        </is>
      </c>
      <c r="C24" s="12" t="inlineStr">
        <is>
          <t>https://www.ja-douhokunayoro.or.jp/</t>
        </is>
      </c>
      <c r="D24" s="13" t="inlineStr">
        <is>
          <t>北海道名寄市大通南4丁目10番地1 ※本所</t>
        </is>
      </c>
      <c r="E24" s="13" t="inlineStr">
        <is>
          <t>01654-2-4531</t>
        </is>
      </c>
      <c r="F24" s="1" t="inlineStr">
        <is>
          <t>もち米（作付面積日本一）、アスパラ。</t>
        </is>
      </c>
      <c r="G24" s="1" t="inlineStr">
        <is>
          <t>オペレーター補助や、アスパラの早朝収穫の担い手不足。</t>
        </is>
      </c>
      <c r="H24" s="1" t="inlineStr">
        <is>
          <t>朝早くからの作業にも対応できる人材紹介と、手厚いメンタル・生活サポート体制を強調。</t>
        </is>
      </c>
      <c r="I24" s="1" t="n"/>
      <c r="J24" s="1" t="n"/>
      <c r="K24" s="1" t="n"/>
      <c r="L24" s="1" t="n"/>
      <c r="M24" s="1" t="n"/>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inlineStr">
        <is>
          <t>BREXA CrossBorder</t>
        </is>
      </c>
      <c r="AI24" s="1" t="inlineStr">
        <is>
          <t>武田 悦郎</t>
        </is>
      </c>
      <c r="AJ24" s="1" t="n"/>
      <c r="AK24" s="1" t="n"/>
      <c r="AL24" s="1" t="n"/>
      <c r="AM24" s="1" t="n"/>
      <c r="AN24" s="1" t="n"/>
      <c r="AO24" s="1" t="n"/>
      <c r="AP24">
        <f>COUNTIFS(加電履歴!$F:$F,A24,加電履歴!$E:$E,"JAリスト")</f>
        <v/>
      </c>
      <c r="AQ24" s="10">
        <f>IFERROR(IF(COUNTIFS(加電履歴!$F:$F,A24,加電履歴!$E:$E,"JAリスト")=0,"",MAXIFS(加電履歴!$B:$B,加電履歴!$F:$F,A24,加電履歴!$E:$E,"JAリスト")),"")</f>
        <v/>
      </c>
      <c r="AR24">
        <f>IFERROR(IF(COUNTIFS(加電履歴!$F:$F,A24,加電履歴!$E:$E,"JAリスト")=0,"",INDEX(加電履歴!$I:$I,MATCH(1,(加電履歴!$F:$F=A24)*(加電履歴!$E:$E="JAリスト")*(加電履歴!$B:$B=MAXIFS(加電履歴!$B:$B,加電履歴!$F:$F,A24,加電履歴!$E:$E,"JAリスト")),0))),"")</f>
        <v/>
      </c>
    </row>
    <row r="25" ht="12.5" customHeight="1">
      <c r="A25" t="inlineStr">
        <is>
          <t>道北</t>
        </is>
      </c>
      <c r="B25" s="13" t="inlineStr">
        <is>
          <t>JA南るもい ※令和3年JAるもいへ合併・現存せず</t>
        </is>
      </c>
      <c r="C25" s="14" t="inlineStr"/>
      <c r="D25" s="13" t="inlineStr">
        <is>
          <t>※統合: JAるもい本所(羽幌町)。連絡先はJAるもい(0164-62-1212系) ※要確認</t>
        </is>
      </c>
      <c r="E25" s="13" t="inlineStr">
        <is>
          <t>※存続: JAるもい</t>
        </is>
      </c>
      <c r="F25" s="1" t="inlineStr">
        <is>
          <t>米、メロン、カボチャ。</t>
        </is>
      </c>
      <c r="G25" s="1" t="inlineStr">
        <is>
          <t>気候を活かした農業だが、過疎化により働き手の絶対数が不足。</t>
        </is>
      </c>
      <c r="H25" s="1" t="inlineStr">
        <is>
          <t>補助金活用により採用コストを圧縮し、過疎地域でも定着を図れるフォロー体制（語学支援等）を提案。</t>
        </is>
      </c>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inlineStr">
        <is>
          <t>BREXA CrossBorder</t>
        </is>
      </c>
      <c r="AI25" s="1" t="inlineStr">
        <is>
          <t>武田 悦郎</t>
        </is>
      </c>
      <c r="AJ25" s="1" t="n"/>
      <c r="AK25" s="1" t="n"/>
      <c r="AL25" s="1" t="n"/>
      <c r="AM25" s="1" t="n"/>
      <c r="AN25" s="1" t="n"/>
      <c r="AO25" s="1" t="n"/>
      <c r="AP25">
        <f>COUNTIFS(加電履歴!$F:$F,A25,加電履歴!$E:$E,"JAリスト")</f>
        <v/>
      </c>
      <c r="AQ25" s="10">
        <f>IFERROR(IF(COUNTIFS(加電履歴!$F:$F,A25,加電履歴!$E:$E,"JAリスト")=0,"",MAXIFS(加電履歴!$B:$B,加電履歴!$F:$F,A25,加電履歴!$E:$E,"JAリスト")),"")</f>
        <v/>
      </c>
      <c r="AR25">
        <f>IFERROR(IF(COUNTIFS(加電履歴!$F:$F,A25,加電履歴!$E:$E,"JAリスト")=0,"",INDEX(加電履歴!$I:$I,MATCH(1,(加電履歴!$F:$F=A25)*(加電履歴!$E:$E="JAリスト")*(加電履歴!$B:$B=MAXIFS(加電履歴!$B:$B,加電履歴!$F:$F,A25,加電履歴!$E:$E,"JAリスト")),0))),"")</f>
        <v/>
      </c>
    </row>
    <row r="26" ht="12.5" customHeight="1">
      <c r="A26" t="inlineStr">
        <is>
          <t>道北</t>
        </is>
      </c>
      <c r="B26" s="13" t="inlineStr">
        <is>
          <t>JAオロロン ※令和3年JAるもいへ合併・現存せず</t>
        </is>
      </c>
      <c r="C26" s="14" t="inlineStr"/>
      <c r="D26" s="13" t="inlineStr">
        <is>
          <t>※統合: JAるもい本所(羽幌町)。羽幌町字南町7-29(JAるもい本所と同位置の可能性)</t>
        </is>
      </c>
      <c r="E26" s="13" t="inlineStr">
        <is>
          <t>※存続: JAるもい</t>
        </is>
      </c>
      <c r="F26" s="1" t="inlineStr">
        <is>
          <t>米、アスパラガス、オロロンメロン。</t>
        </is>
      </c>
      <c r="G26" s="1" t="inlineStr">
        <is>
          <t>沿岸部であり、水産業との複合的な労働力確保のニーズも存在。</t>
        </is>
      </c>
      <c r="H26" s="1" t="inlineStr">
        <is>
          <t>農業だけでなく、地域のニーズに合わせて柔軟に特定技能（飲食料品製造等）の提案枠を広げる。</t>
        </is>
      </c>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inlineStr">
        <is>
          <t>BREXA CrossBorder</t>
        </is>
      </c>
      <c r="AI26" s="1" t="inlineStr">
        <is>
          <t>武田 悦郎</t>
        </is>
      </c>
      <c r="AJ26" s="1" t="n"/>
      <c r="AK26" s="1" t="n"/>
      <c r="AL26" s="1" t="n"/>
      <c r="AM26" s="1" t="n"/>
      <c r="AN26" s="1" t="n"/>
      <c r="AO26" s="1" t="n"/>
      <c r="AP26">
        <f>COUNTIFS(加電履歴!$F:$F,A26,加電履歴!$E:$E,"JAリスト")</f>
        <v/>
      </c>
      <c r="AQ26" s="10">
        <f>IFERROR(IF(COUNTIFS(加電履歴!$F:$F,A26,加電履歴!$E:$E,"JAリスト")=0,"",MAXIFS(加電履歴!$B:$B,加電履歴!$F:$F,A26,加電履歴!$E:$E,"JAリスト")),"")</f>
        <v/>
      </c>
      <c r="AR26">
        <f>IFERROR(IF(COUNTIFS(加電履歴!$F:$F,A26,加電履歴!$E:$E,"JAリスト")=0,"",INDEX(加電履歴!$I:$I,MATCH(1,(加電履歴!$F:$F=A26)*(加電履歴!$E:$E="JAリスト")*(加電履歴!$B:$B=MAXIFS(加電履歴!$B:$B,加電履歴!$F:$F,A26,加電履歴!$E:$E,"JAリスト")),0))),"")</f>
        <v/>
      </c>
    </row>
    <row r="27" ht="12.5" customHeight="1">
      <c r="A27" t="inlineStr">
        <is>
          <t>道北</t>
        </is>
      </c>
      <c r="B27" s="13" t="inlineStr">
        <is>
          <t>JA北宗谷</t>
        </is>
      </c>
      <c r="C27" s="12" t="inlineStr">
        <is>
          <t>https://ja-kitasouya.jp/</t>
        </is>
      </c>
      <c r="D27" s="13" t="inlineStr">
        <is>
          <t>北海道天塩郡豊富町</t>
        </is>
      </c>
      <c r="E27" s="13" t="inlineStr">
        <is>
          <t>0162-82-2112</t>
        </is>
      </c>
      <c r="F27" s="1" t="inlineStr">
        <is>
          <t>広大な牧草地での大規模酪農。</t>
        </is>
      </c>
      <c r="G27" s="1" t="inlineStr">
        <is>
          <t>年中無休の搾乳作業や清掃など、特有の過酷な労働環境による人手不足。</t>
        </is>
      </c>
      <c r="H27" s="1" t="inlineStr">
        <is>
          <t>酪農特化の特定技能紹介と、初期投資ゼロ（完全成果報酬）による経営圧迫の回避を提案。</t>
        </is>
      </c>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inlineStr">
        <is>
          <t>BREXA CrossBorder</t>
        </is>
      </c>
      <c r="AI27" s="1" t="inlineStr">
        <is>
          <t>武田 悦郎</t>
        </is>
      </c>
      <c r="AJ27" s="1" t="n"/>
      <c r="AK27" s="1" t="n"/>
      <c r="AL27" s="1" t="n"/>
      <c r="AM27" s="1" t="n"/>
      <c r="AN27" s="1" t="n"/>
      <c r="AO27" s="1" t="n"/>
      <c r="AP27">
        <f>COUNTIFS(加電履歴!$F:$F,A27,加電履歴!$E:$E,"JAリスト")</f>
        <v/>
      </c>
      <c r="AQ27" s="10">
        <f>IFERROR(IF(COUNTIFS(加電履歴!$F:$F,A27,加電履歴!$E:$E,"JAリスト")=0,"",MAXIFS(加電履歴!$B:$B,加電履歴!$F:$F,A27,加電履歴!$E:$E,"JAリスト")),"")</f>
        <v/>
      </c>
      <c r="AR27">
        <f>IFERROR(IF(COUNTIFS(加電履歴!$F:$F,A27,加電履歴!$E:$E,"JAリスト")=0,"",INDEX(加電履歴!$I:$I,MATCH(1,(加電履歴!$F:$F=A27)*(加電履歴!$E:$E="JAリスト")*(加電履歴!$B:$B=MAXIFS(加電履歴!$B:$B,加電履歴!$F:$F,A27,加電履歴!$E:$E,"JAリスト")),0))),"")</f>
        <v/>
      </c>
    </row>
    <row r="28" ht="12.5" customHeight="1">
      <c r="A28" t="inlineStr">
        <is>
          <t>道北</t>
        </is>
      </c>
      <c r="B28" s="13" t="inlineStr">
        <is>
          <t>JA宗谷南</t>
        </is>
      </c>
      <c r="C28" s="12" t="inlineStr">
        <is>
          <t>http://ja-souyaminami.or.jp/</t>
        </is>
      </c>
      <c r="D28" s="13" t="inlineStr">
        <is>
          <t>北海道枝幸郡枝幸町幸町8121-3 (〒098-5805)</t>
        </is>
      </c>
      <c r="E28" s="13" t="inlineStr">
        <is>
          <t>0163-62-1711</t>
        </is>
      </c>
      <c r="F28" s="1" t="inlineStr">
        <is>
          <t>酪農、肉牛飼育。</t>
        </is>
      </c>
      <c r="G28" s="1" t="inlineStr">
        <is>
          <t>冬季の厳しい気象条件の中での作業となるため、人材のケアが最大の課題。</t>
        </is>
      </c>
      <c r="H28" s="1" t="inlineStr">
        <is>
          <t>入国前のオリエンテーション（雪国での生活指導）や、定期的な日本語でのメンタルケアをアピール。</t>
        </is>
      </c>
      <c r="I28" s="1" t="n"/>
      <c r="J28" s="1" t="n"/>
      <c r="K28" s="1" t="n"/>
      <c r="L28" s="1" t="n"/>
      <c r="M28" s="1" t="n"/>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inlineStr">
        <is>
          <t>BREXA CrossBorder</t>
        </is>
      </c>
      <c r="AI28" s="1" t="inlineStr">
        <is>
          <t>武田 悦郎</t>
        </is>
      </c>
      <c r="AJ28" s="1" t="n"/>
      <c r="AK28" s="1" t="n"/>
      <c r="AL28" s="1" t="n"/>
      <c r="AM28" s="1" t="n"/>
      <c r="AN28" s="1" t="n"/>
      <c r="AO28" s="1" t="n"/>
      <c r="AP28">
        <f>COUNTIFS(加電履歴!$F:$F,A28,加電履歴!$E:$E,"JAリスト")</f>
        <v/>
      </c>
      <c r="AQ28" s="10">
        <f>IFERROR(IF(COUNTIFS(加電履歴!$F:$F,A28,加電履歴!$E:$E,"JAリスト")=0,"",MAXIFS(加電履歴!$B:$B,加電履歴!$F:$F,A28,加電履歴!$E:$E,"JAリスト")),"")</f>
        <v/>
      </c>
      <c r="AR28">
        <f>IFERROR(IF(COUNTIFS(加電履歴!$F:$F,A28,加電履歴!$E:$E,"JAリスト")=0,"",INDEX(加電履歴!$I:$I,MATCH(1,(加電履歴!$F:$F=A28)*(加電履歴!$E:$E="JAリスト")*(加電履歴!$B:$B=MAXIFS(加電履歴!$B:$B,加電履歴!$F:$F,A28,加電履歴!$E:$E,"JAリスト")),0))),"")</f>
        <v/>
      </c>
    </row>
    <row r="29" ht="12.5" customHeight="1">
      <c r="A29" t="inlineStr">
        <is>
          <t>道北</t>
        </is>
      </c>
      <c r="B29" s="13" t="inlineStr">
        <is>
          <t>JAひがし宗谷 (東宗谷農業協同組合)</t>
        </is>
      </c>
      <c r="C29" s="12" t="inlineStr">
        <is>
          <t>https://www.ja-esoya.com/</t>
        </is>
      </c>
      <c r="D29" s="13" t="inlineStr">
        <is>
          <t>北海道枝幸郡浜頓別町南3条1丁目25番地</t>
        </is>
      </c>
      <c r="E29" s="13" t="inlineStr">
        <is>
          <t>01634-2-2229 (本所) / 01634-2-3366 (金融部)</t>
        </is>
      </c>
      <c r="F29" s="1" t="inlineStr">
        <is>
          <t>酪農中心。</t>
        </is>
      </c>
      <c r="G29" s="1" t="inlineStr">
        <is>
          <t>ヘルパー不足が深刻で、酪農家が休みを取れない状況が続いている。</t>
        </is>
      </c>
      <c r="H29" s="1" t="inlineStr">
        <is>
          <t>労働環境を改善するため、補助金を活用した外国人材の計画的な受け入れスキームを提案。</t>
        </is>
      </c>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inlineStr">
        <is>
          <t>BREXA CrossBorder</t>
        </is>
      </c>
      <c r="AI29" s="1" t="inlineStr">
        <is>
          <t>武田 悦郎</t>
        </is>
      </c>
      <c r="AJ29" s="1" t="n"/>
      <c r="AK29" s="1" t="n"/>
      <c r="AL29" s="1" t="n"/>
      <c r="AM29" s="1" t="n"/>
      <c r="AN29" s="1" t="n"/>
      <c r="AO29" s="1" t="n"/>
      <c r="AP29">
        <f>COUNTIFS(加電履歴!$F:$F,A29,加電履歴!$E:$E,"JAリスト")</f>
        <v/>
      </c>
      <c r="AQ29" s="10">
        <f>IFERROR(IF(COUNTIFS(加電履歴!$F:$F,A29,加電履歴!$E:$E,"JAリスト")=0,"",MAXIFS(加電履歴!$B:$B,加電履歴!$F:$F,A29,加電履歴!$E:$E,"JAリスト")),"")</f>
        <v/>
      </c>
      <c r="AR29">
        <f>IFERROR(IF(COUNTIFS(加電履歴!$F:$F,A29,加電履歴!$E:$E,"JAリスト")=0,"",INDEX(加電履歴!$I:$I,MATCH(1,(加電履歴!$F:$F=A29)*(加電履歴!$E:$E="JAリスト")*(加電履歴!$B:$B=MAXIFS(加電履歴!$B:$B,加電履歴!$F:$F,A29,加電履歴!$E:$E,"JAリスト")),0))),"")</f>
        <v/>
      </c>
    </row>
    <row r="30" ht="12.5" customHeight="1">
      <c r="A30" t="inlineStr">
        <is>
          <t>道東</t>
        </is>
      </c>
      <c r="B30" s="1" t="inlineStr">
        <is>
          <t>JAきたみらい</t>
        </is>
      </c>
      <c r="C30" s="12" t="inlineStr">
        <is>
          <t>https://www.jakitamirai.or.jp/</t>
        </is>
      </c>
      <c r="D30" s="13" t="inlineStr">
        <is>
          <t>北海道北見市中ノ島町1丁目1-8 (〒090-0813)</t>
        </is>
      </c>
      <c r="E30" s="13" t="inlineStr">
        <is>
          <t>0157-32-8777</t>
        </is>
      </c>
      <c r="F30" s="1" t="inlineStr">
        <is>
          <t>玉ねぎ（日本一）、じゃがいも、てんさい。</t>
        </is>
      </c>
      <c r="G30" s="1" t="inlineStr">
        <is>
          <t>玉ねぎ収穫・選別施設における膨大な労働力確保。ピーク時の不足が深刻。</t>
        </is>
      </c>
      <c r="H30" s="1" t="inlineStr">
        <is>
          <t>大規模選果場向けのまとまった人材紹介と、現場リーダー候補に対する日本語教育支援をセット提案。</t>
        </is>
      </c>
      <c r="I30" s="1" t="n"/>
      <c r="J30" s="1" t="n"/>
      <c r="K30" s="1" t="n"/>
      <c r="L30" s="1" t="n"/>
      <c r="M30" s="1" t="n"/>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inlineStr">
        <is>
          <t>BREXA CrossBorder</t>
        </is>
      </c>
      <c r="AI30" s="1" t="inlineStr">
        <is>
          <t>武田 悦郎</t>
        </is>
      </c>
      <c r="AJ30" s="1" t="n"/>
      <c r="AK30" s="1" t="n"/>
      <c r="AL30" s="1" t="n"/>
      <c r="AM30" s="1" t="n"/>
      <c r="AN30" s="1" t="n"/>
      <c r="AO30" s="1" t="n"/>
      <c r="AP30">
        <f>COUNTIFS(加電履歴!$F:$F,A30,加電履歴!$E:$E,"JAリスト")</f>
        <v/>
      </c>
      <c r="AQ30" s="10">
        <f>IFERROR(IF(COUNTIFS(加電履歴!$F:$F,A30,加電履歴!$E:$E,"JAリスト")=0,"",MAXIFS(加電履歴!$B:$B,加電履歴!$F:$F,A30,加電履歴!$E:$E,"JAリスト")),"")</f>
        <v/>
      </c>
      <c r="AR30">
        <f>IFERROR(IF(COUNTIFS(加電履歴!$F:$F,A30,加電履歴!$E:$E,"JAリスト")=0,"",INDEX(加電履歴!$I:$I,MATCH(1,(加電履歴!$F:$F=A30)*(加電履歴!$E:$E="JAリスト")*(加電履歴!$B:$B=MAXIFS(加電履歴!$B:$B,加電履歴!$F:$F,A30,加電履歴!$E:$E,"JAリスト")),0))),"")</f>
        <v/>
      </c>
    </row>
    <row r="31" ht="12.5" customHeight="1">
      <c r="A31" t="inlineStr">
        <is>
          <t>道東</t>
        </is>
      </c>
      <c r="B31" s="1" t="inlineStr">
        <is>
          <t>JAところ</t>
        </is>
      </c>
      <c r="C31" s="12" t="inlineStr">
        <is>
          <t>https://www.ja-tokoro.or.jp/</t>
        </is>
      </c>
      <c r="D31" s="13" t="inlineStr">
        <is>
          <t>北海道北見市常呂町字常呂608 (〒093-0206)</t>
        </is>
      </c>
      <c r="E31" s="13" t="inlineStr">
        <is>
          <t>0152-54-2121</t>
        </is>
      </c>
      <c r="F31" s="1" t="inlineStr">
        <is>
          <t>玉ねぎ、にんにく、小麦。</t>
        </is>
      </c>
      <c r="G31" s="1" t="inlineStr">
        <is>
          <t>にんにくや玉ねぎの植え付け・収穫における短期集中的な労働需要。</t>
        </is>
      </c>
      <c r="H31" s="1" t="inlineStr">
        <is>
          <t>完全成果報酬型モデルを提示し、コストリスクなしで繁忙期に向けた人員確保の準備を促す。</t>
        </is>
      </c>
      <c r="I31" s="1" t="n"/>
      <c r="J31" s="1" t="n"/>
      <c r="K31" s="1" t="n"/>
      <c r="L31" s="1" t="n"/>
      <c r="M31" s="1" t="n"/>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inlineStr">
        <is>
          <t>BREXA CrossBorder</t>
        </is>
      </c>
      <c r="AI31" s="1" t="inlineStr">
        <is>
          <t>武田 悦郎</t>
        </is>
      </c>
      <c r="AJ31" s="1" t="n"/>
      <c r="AK31" s="1" t="n"/>
      <c r="AL31" s="1" t="n"/>
      <c r="AM31" s="1" t="n"/>
      <c r="AN31" s="1" t="n"/>
      <c r="AO31" s="1" t="n"/>
      <c r="AP31">
        <f>COUNTIFS(加電履歴!$F:$F,A31,加電履歴!$E:$E,"JAリスト")</f>
        <v/>
      </c>
      <c r="AQ31" s="10">
        <f>IFERROR(IF(COUNTIFS(加電履歴!$F:$F,A31,加電履歴!$E:$E,"JAリスト")=0,"",MAXIFS(加電履歴!$B:$B,加電履歴!$F:$F,A31,加電履歴!$E:$E,"JAリスト")),"")</f>
        <v/>
      </c>
      <c r="AR31">
        <f>IFERROR(IF(COUNTIFS(加電履歴!$F:$F,A31,加電履歴!$E:$E,"JAリスト")=0,"",INDEX(加電履歴!$I:$I,MATCH(1,(加電履歴!$F:$F=A31)*(加電履歴!$E:$E="JAリスト")*(加電履歴!$B:$B=MAXIFS(加電履歴!$B:$B,加電履歴!$F:$F,A31,加電履歴!$E:$E,"JAリスト")),0))),"")</f>
        <v/>
      </c>
    </row>
    <row r="32" ht="12.5" customHeight="1">
      <c r="A32" t="inlineStr">
        <is>
          <t>道東</t>
        </is>
      </c>
      <c r="B32" s="1" t="inlineStr">
        <is>
          <t>JAめまんべつ</t>
        </is>
      </c>
      <c r="C32" s="12" t="inlineStr">
        <is>
          <t>https://www.ja-memanbetsu.jp/</t>
        </is>
      </c>
      <c r="D32" s="13" t="inlineStr">
        <is>
          <t>北海道網走郡大空町女満別西4条5丁目1-27 (〒099-2324)</t>
        </is>
      </c>
      <c r="E32" s="13" t="inlineStr">
        <is>
          <t>0152-74-2131</t>
        </is>
      </c>
      <c r="F32" s="1" t="inlineStr">
        <is>
          <t>麦、ビート、じゃがいも、長いも。</t>
        </is>
      </c>
      <c r="G32" s="1" t="inlineStr">
        <is>
          <t>長いもの収穫など重労働が多く、体力のある若手人材の確保が必須。</t>
        </is>
      </c>
      <c r="H32" s="1" t="inlineStr">
        <is>
          <t>生活サポートや日本語教育を通じて、若手人材が地域社会に馴染みやすくする独自の支援体制をアピール。</t>
        </is>
      </c>
      <c r="I32" s="1" t="n"/>
      <c r="J32" s="1" t="n"/>
      <c r="K32" s="1" t="n"/>
      <c r="L32" s="1" t="n"/>
      <c r="M32" s="1"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inlineStr">
        <is>
          <t>BREXA CrossBorder</t>
        </is>
      </c>
      <c r="AI32" s="1" t="inlineStr">
        <is>
          <t>武田 悦郎</t>
        </is>
      </c>
      <c r="AJ32" s="1" t="n"/>
      <c r="AK32" s="1" t="n"/>
      <c r="AL32" s="1" t="n"/>
      <c r="AM32" s="1" t="n"/>
      <c r="AN32" s="1" t="n"/>
      <c r="AO32" s="1" t="n"/>
      <c r="AP32">
        <f>COUNTIFS(加電履歴!$F:$F,A32,加電履歴!$E:$E,"JAリスト")</f>
        <v/>
      </c>
      <c r="AQ32" s="10">
        <f>IFERROR(IF(COUNTIFS(加電履歴!$F:$F,A32,加電履歴!$E:$E,"JAリスト")=0,"",MAXIFS(加電履歴!$B:$B,加電履歴!$F:$F,A32,加電履歴!$E:$E,"JAリスト")),"")</f>
        <v/>
      </c>
      <c r="AR32">
        <f>IFERROR(IF(COUNTIFS(加電履歴!$F:$F,A32,加電履歴!$E:$E,"JAリスト")=0,"",INDEX(加電履歴!$I:$I,MATCH(1,(加電履歴!$F:$F=A32)*(加電履歴!$E:$E="JAリスト")*(加電履歴!$B:$B=MAXIFS(加電履歴!$B:$B,加電履歴!$F:$F,A32,加電履歴!$E:$E,"JAリスト")),0))),"")</f>
        <v/>
      </c>
    </row>
    <row r="33" ht="12.5" customHeight="1">
      <c r="A33" t="inlineStr">
        <is>
          <t>道東</t>
        </is>
      </c>
      <c r="B33" s="1" t="inlineStr">
        <is>
          <t>JAびほろ</t>
        </is>
      </c>
      <c r="C33" s="12" t="inlineStr">
        <is>
          <t>https://www.ja-bihoro.or.jp/</t>
        </is>
      </c>
      <c r="D33" s="13" t="inlineStr">
        <is>
          <t>北海道網走郡美幌町字青山南30番地1 (〒092-8651)</t>
        </is>
      </c>
      <c r="E33" s="13" t="inlineStr">
        <is>
          <t>0152-72-1111</t>
        </is>
      </c>
      <c r="F33" s="1" t="inlineStr">
        <is>
          <t>玉ねぎ、じゃがいも、ビート。</t>
        </is>
      </c>
      <c r="G33" s="1" t="inlineStr">
        <is>
          <t>大規模機械化が進むが、機械で代替できない選別作業等の人手が必要。</t>
        </is>
      </c>
      <c r="H33" s="1" t="inlineStr">
        <is>
          <t>指示の理解度を高めるための「やさしい日本語講座」を提供し、作業効率の低下を防ぐ支援を強調。</t>
        </is>
      </c>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inlineStr">
        <is>
          <t>BREXA CrossBorder</t>
        </is>
      </c>
      <c r="AI33" s="1" t="inlineStr">
        <is>
          <t>武田 悦郎</t>
        </is>
      </c>
      <c r="AJ33" s="1" t="n"/>
      <c r="AK33" s="1" t="n"/>
      <c r="AL33" s="1" t="n"/>
      <c r="AM33" s="1" t="n"/>
      <c r="AN33" s="1" t="n"/>
      <c r="AO33" s="1" t="n"/>
      <c r="AP33">
        <f>COUNTIFS(加電履歴!$F:$F,A33,加電履歴!$E:$E,"JAリスト")</f>
        <v/>
      </c>
      <c r="AQ33" s="10">
        <f>IFERROR(IF(COUNTIFS(加電履歴!$F:$F,A33,加電履歴!$E:$E,"JAリスト")=0,"",MAXIFS(加電履歴!$B:$B,加電履歴!$F:$F,A33,加電履歴!$E:$E,"JAリスト")),"")</f>
        <v/>
      </c>
      <c r="AR33">
        <f>IFERROR(IF(COUNTIFS(加電履歴!$F:$F,A33,加電履歴!$E:$E,"JAリスト")=0,"",INDEX(加電履歴!$I:$I,MATCH(1,(加電履歴!$F:$F=A33)*(加電履歴!$E:$E="JAリスト")*(加電履歴!$B:$B=MAXIFS(加電履歴!$B:$B,加電履歴!$F:$F,A33,加電履歴!$E:$E,"JAリスト")),0))),"")</f>
        <v/>
      </c>
    </row>
    <row r="34" ht="12.5" customHeight="1">
      <c r="A34" t="inlineStr">
        <is>
          <t>道東</t>
        </is>
      </c>
      <c r="B34" s="1" t="inlineStr">
        <is>
          <t>JAつべつ</t>
        </is>
      </c>
      <c r="C34" s="12" t="inlineStr">
        <is>
          <t>https://www.jatsubetsu.or.jp/</t>
        </is>
      </c>
      <c r="D34" s="13" t="inlineStr">
        <is>
          <t>北海道網走郡津別町字大通30番地1 (〒092-0231)</t>
        </is>
      </c>
      <c r="E34" s="13" t="inlineStr">
        <is>
          <t>0152-76-3322</t>
        </is>
      </c>
      <c r="F34" s="1" t="inlineStr">
        <is>
          <t>アスパラガス、じゃがいも、酪農。</t>
        </is>
      </c>
      <c r="G34" s="1" t="inlineStr">
        <is>
          <t>畑作と酪農が混在し、農家によって求める人材のスキルセットが異なる。</t>
        </is>
      </c>
      <c r="H34" s="1" t="inlineStr">
        <is>
          <t>人材紹介の専門性を活かした緻密なマッチングと、補助金申請サポートによる安心感を提供。</t>
        </is>
      </c>
      <c r="I34" s="1" t="n"/>
      <c r="J34" s="1" t="n"/>
      <c r="K34" s="1" t="n"/>
      <c r="L34" s="1" t="n"/>
      <c r="M34" s="1" t="n"/>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inlineStr">
        <is>
          <t>BREXA CrossBorder</t>
        </is>
      </c>
      <c r="AI34" s="1" t="inlineStr">
        <is>
          <t>武田 悦郎</t>
        </is>
      </c>
      <c r="AJ34" s="1" t="n"/>
      <c r="AK34" s="1" t="n"/>
      <c r="AL34" s="1" t="n"/>
      <c r="AM34" s="1" t="n"/>
      <c r="AN34" s="1" t="n"/>
      <c r="AO34" s="1" t="n"/>
      <c r="AP34">
        <f>COUNTIFS(加電履歴!$F:$F,A34,加電履歴!$E:$E,"JAリスト")</f>
        <v/>
      </c>
      <c r="AQ34" s="10">
        <f>IFERROR(IF(COUNTIFS(加電履歴!$F:$F,A34,加電履歴!$E:$E,"JAリスト")=0,"",MAXIFS(加電履歴!$B:$B,加電履歴!$F:$F,A34,加電履歴!$E:$E,"JAリスト")),"")</f>
        <v/>
      </c>
      <c r="AR34">
        <f>IFERROR(IF(COUNTIFS(加電履歴!$F:$F,A34,加電履歴!$E:$E,"JAリスト")=0,"",INDEX(加電履歴!$I:$I,MATCH(1,(加電履歴!$F:$F=A34)*(加電履歴!$E:$E="JAリスト")*(加電履歴!$B:$B=MAXIFS(加電履歴!$B:$B,加電履歴!$F:$F,A34,加電履歴!$E:$E,"JAリスト")),0))),"")</f>
        <v/>
      </c>
    </row>
    <row r="35" ht="12.5" customHeight="1">
      <c r="A35" t="inlineStr">
        <is>
          <t>道東</t>
        </is>
      </c>
      <c r="B35" s="13" t="inlineStr">
        <is>
          <t>JAしれとこ斜里 (旧JA斜里町)</t>
        </is>
      </c>
      <c r="C35" s="12" t="inlineStr">
        <is>
          <t>https://ja-shiretokoshari.or.jp/</t>
        </is>
      </c>
      <c r="D35" s="13" t="inlineStr">
        <is>
          <t>北海道斜里郡斜里町本町36-1 (〒099-4195)</t>
        </is>
      </c>
      <c r="E35" s="13" t="inlineStr">
        <is>
          <t>0152-23-3151</t>
        </is>
      </c>
      <c r="F35" s="1" t="inlineStr">
        <is>
          <t>じゃがいも、てんさい、にんじん。</t>
        </is>
      </c>
      <c r="G35" s="1" t="inlineStr">
        <is>
          <t>知床の厳しい自然環境下での大規模農業。収穫期の選果場労働力がボトルネック。</t>
        </is>
      </c>
      <c r="H35" s="1" t="inlineStr">
        <is>
          <t>手厚い生活指導と語学サポートにより、地方の環境でも孤立させない定着支援プログラムを提案。</t>
        </is>
      </c>
      <c r="I35" s="1" t="n"/>
      <c r="J35" s="1" t="n"/>
      <c r="K35" s="1" t="n"/>
      <c r="L35" s="1" t="n"/>
      <c r="M35" s="1" t="n"/>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inlineStr">
        <is>
          <t>BREXA CrossBorder</t>
        </is>
      </c>
      <c r="AI35" s="1" t="inlineStr">
        <is>
          <t>武田 悦郎</t>
        </is>
      </c>
      <c r="AJ35" s="1" t="n"/>
      <c r="AK35" s="1" t="n"/>
      <c r="AL35" s="1" t="n"/>
      <c r="AM35" s="1" t="n"/>
      <c r="AN35" s="1" t="n"/>
      <c r="AO35" s="1" t="n"/>
      <c r="AP35">
        <f>COUNTIFS(加電履歴!$F:$F,A35,加電履歴!$E:$E,"JAリスト")</f>
        <v/>
      </c>
      <c r="AQ35" s="10">
        <f>IFERROR(IF(COUNTIFS(加電履歴!$F:$F,A35,加電履歴!$E:$E,"JAリスト")=0,"",MAXIFS(加電履歴!$B:$B,加電履歴!$F:$F,A35,加電履歴!$E:$E,"JAリスト")),"")</f>
        <v/>
      </c>
      <c r="AR35">
        <f>IFERROR(IF(COUNTIFS(加電履歴!$F:$F,A35,加電履歴!$E:$E,"JAリスト")=0,"",INDEX(加電履歴!$I:$I,MATCH(1,(加電履歴!$F:$F=A35)*(加電履歴!$E:$E="JAリスト")*(加電履歴!$B:$B=MAXIFS(加電履歴!$B:$B,加電履歴!$F:$F,A35,加電履歴!$E:$E,"JAリスト")),0))),"")</f>
        <v/>
      </c>
    </row>
    <row r="36" ht="12.5" customHeight="1">
      <c r="A36" t="inlineStr">
        <is>
          <t>道東</t>
        </is>
      </c>
      <c r="B36" s="1" t="inlineStr">
        <is>
          <t>JA清里町</t>
        </is>
      </c>
      <c r="C36" s="12" t="inlineStr">
        <is>
          <t>https://ja-kiyosato.or.jp/</t>
        </is>
      </c>
      <c r="D36" s="13" t="inlineStr">
        <is>
          <t>北海道斜里郡清里町羽衣町2 (〒099-4405)</t>
        </is>
      </c>
      <c r="E36" s="13" t="inlineStr">
        <is>
          <t>0152-25-2212</t>
        </is>
      </c>
      <c r="F36" s="1" t="inlineStr">
        <is>
          <t>じゃがいも（焼酎原料含む）、小麦。</t>
        </is>
      </c>
      <c r="G36" s="1" t="inlineStr">
        <is>
          <t>焼酎工場などの加工施設連携もあり、農作業以外の関連業務への波及効果も。</t>
        </is>
      </c>
      <c r="H36" s="1" t="inlineStr">
        <is>
          <t>補助金採択を前提とした完全成果報酬で、組合を通じた地域全体の労働力底上げを打診する。</t>
        </is>
      </c>
      <c r="I36" s="1" t="n"/>
      <c r="J36" s="1" t="n"/>
      <c r="K36" s="1" t="n"/>
      <c r="L36" s="1" t="n"/>
      <c r="M36" s="1" t="n"/>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inlineStr">
        <is>
          <t>BREXA CrossBorder</t>
        </is>
      </c>
      <c r="AI36" s="1" t="inlineStr">
        <is>
          <t>武田 悦郎</t>
        </is>
      </c>
      <c r="AJ36" s="1" t="n"/>
      <c r="AK36" s="1" t="n"/>
      <c r="AL36" s="1" t="n"/>
      <c r="AM36" s="1" t="n"/>
      <c r="AN36" s="1" t="n"/>
      <c r="AO36" s="1" t="n"/>
      <c r="AP36">
        <f>COUNTIFS(加電履歴!$F:$F,A36,加電履歴!$E:$E,"JAリスト")</f>
        <v/>
      </c>
      <c r="AQ36" s="10">
        <f>IFERROR(IF(COUNTIFS(加電履歴!$F:$F,A36,加電履歴!$E:$E,"JAリスト")=0,"",MAXIFS(加電履歴!$B:$B,加電履歴!$F:$F,A36,加電履歴!$E:$E,"JAリスト")),"")</f>
        <v/>
      </c>
      <c r="AR36">
        <f>IFERROR(IF(COUNTIFS(加電履歴!$F:$F,A36,加電履歴!$E:$E,"JAリスト")=0,"",INDEX(加電履歴!$I:$I,MATCH(1,(加電履歴!$F:$F=A36)*(加電履歴!$E:$E="JAリスト")*(加電履歴!$B:$B=MAXIFS(加電履歴!$B:$B,加電履歴!$F:$F,A36,加電履歴!$E:$E,"JAリスト")),0))),"")</f>
        <v/>
      </c>
    </row>
    <row r="37" ht="12.5" customHeight="1">
      <c r="A37" t="inlineStr">
        <is>
          <t>道東</t>
        </is>
      </c>
      <c r="B37" s="1" t="inlineStr">
        <is>
          <t>JAこしみず</t>
        </is>
      </c>
      <c r="C37" s="12" t="inlineStr">
        <is>
          <t>https://ja-koshimizu.jp/</t>
        </is>
      </c>
      <c r="D37" s="13" t="inlineStr">
        <is>
          <t>北海道斜里郡小清水町南町1-5-27</t>
        </is>
      </c>
      <c r="E37" s="13" t="inlineStr">
        <is>
          <t>0152-62-2111</t>
        </is>
      </c>
      <c r="F37" s="1" t="inlineStr">
        <is>
          <t>じゃがいも、小麦、てんさい。</t>
        </is>
      </c>
      <c r="G37" s="1" t="inlineStr">
        <is>
          <t>大規模畑作地帯におけるトラクターオペレーター不足と収穫補助員の人材難。</t>
        </is>
      </c>
      <c r="H37" s="1" t="inlineStr">
        <is>
          <t>安全な作業を実現するための語学・コミュニケーション教育の専門性を、他社にはない強みとしてアピール。</t>
        </is>
      </c>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inlineStr">
        <is>
          <t>BREXA CrossBorder</t>
        </is>
      </c>
      <c r="AI37" s="1" t="inlineStr">
        <is>
          <t>武田 悦郎</t>
        </is>
      </c>
      <c r="AJ37" s="1" t="n"/>
      <c r="AK37" s="1" t="n"/>
      <c r="AL37" s="1" t="n"/>
      <c r="AM37" s="1" t="n"/>
      <c r="AN37" s="1" t="n"/>
      <c r="AO37" s="1" t="n"/>
      <c r="AP37">
        <f>COUNTIFS(加電履歴!$F:$F,A37,加電履歴!$E:$E,"JAリスト")</f>
        <v/>
      </c>
      <c r="AQ37" s="10">
        <f>IFERROR(IF(COUNTIFS(加電履歴!$F:$F,A37,加電履歴!$E:$E,"JAリスト")=0,"",MAXIFS(加電履歴!$B:$B,加電履歴!$F:$F,A37,加電履歴!$E:$E,"JAリスト")),"")</f>
        <v/>
      </c>
      <c r="AR37">
        <f>IFERROR(IF(COUNTIFS(加電履歴!$F:$F,A37,加電履歴!$E:$E,"JAリスト")=0,"",INDEX(加電履歴!$I:$I,MATCH(1,(加電履歴!$F:$F=A37)*(加電履歴!$E:$E="JAリスト")*(加電履歴!$B:$B=MAXIFS(加電履歴!$B:$B,加電履歴!$F:$F,A37,加電履歴!$E:$E,"JAリスト")),0))),"")</f>
        <v/>
      </c>
    </row>
    <row r="38" ht="12.5" customHeight="1">
      <c r="A38" t="inlineStr">
        <is>
          <t>道東</t>
        </is>
      </c>
      <c r="B38" s="1" t="inlineStr">
        <is>
          <t>JAえんゆう</t>
        </is>
      </c>
      <c r="C38" s="12" t="inlineStr">
        <is>
          <t>https://www.ja-enyu.com/</t>
        </is>
      </c>
      <c r="D38" s="13" t="inlineStr">
        <is>
          <t>北海道紋別郡湧別町上湧別屯田市街地230番地 (〒099-6501) ※本所</t>
        </is>
      </c>
      <c r="E38" s="13" t="inlineStr">
        <is>
          <t>01586-2-2161</t>
        </is>
      </c>
      <c r="F38" s="1" t="inlineStr">
        <is>
          <t>玉ねぎ、アスパラガス、酪農。</t>
        </is>
      </c>
      <c r="G38" s="1" t="inlineStr">
        <is>
          <t>広域合併による大規模JAであり、管内での労働力の偏りや一括した採用管理が課題。</t>
        </is>
      </c>
      <c r="H38" s="1" t="inlineStr">
        <is>
          <t>JA本所を一括窓口とした、補助金申請から日本語教育、定着支援までをパッケージ化した総合提案。</t>
        </is>
      </c>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inlineStr">
        <is>
          <t>BREXA CrossBorder</t>
        </is>
      </c>
      <c r="AI38" s="1" t="inlineStr">
        <is>
          <t>武田 悦郎</t>
        </is>
      </c>
      <c r="AJ38" s="1" t="n"/>
      <c r="AK38" s="1" t="n"/>
      <c r="AL38" s="1" t="n"/>
      <c r="AM38" s="1" t="n"/>
      <c r="AN38" s="1" t="n"/>
      <c r="AO38" s="1" t="n"/>
      <c r="AP38">
        <f>COUNTIFS(加電履歴!$F:$F,A38,加電履歴!$E:$E,"JAリスト")</f>
        <v/>
      </c>
      <c r="AQ38" s="10">
        <f>IFERROR(IF(COUNTIFS(加電履歴!$F:$F,A38,加電履歴!$E:$E,"JAリスト")=0,"",MAXIFS(加電履歴!$B:$B,加電履歴!$F:$F,A38,加電履歴!$E:$E,"JAリスト")),"")</f>
        <v/>
      </c>
      <c r="AR38">
        <f>IFERROR(IF(COUNTIFS(加電履歴!$F:$F,A38,加電履歴!$E:$E,"JAリスト")=0,"",INDEX(加電履歴!$I:$I,MATCH(1,(加電履歴!$F:$F=A38)*(加電履歴!$E:$E="JAリスト")*(加電履歴!$B:$B=MAXIFS(加電履歴!$B:$B,加電履歴!$F:$F,A38,加電履歴!$E:$E,"JAリスト")),0))),"")</f>
        <v/>
      </c>
    </row>
    <row r="39" ht="12.5" customHeight="1">
      <c r="A39" t="inlineStr">
        <is>
          <t>道東</t>
        </is>
      </c>
      <c r="B39" s="13" t="inlineStr">
        <is>
          <t>JA帯広かわにし</t>
        </is>
      </c>
      <c r="C39" s="12" t="inlineStr">
        <is>
          <t>https://www.jaobihirokawanisi.or.jp/</t>
        </is>
      </c>
      <c r="D39" s="13" t="inlineStr">
        <is>
          <t>北海道帯広市川西町西2線61番地の1 (〒089-1198)</t>
        </is>
      </c>
      <c r="E39" s="13" t="inlineStr">
        <is>
          <t>0155-59-2111</t>
        </is>
      </c>
      <c r="F39" s="1" t="inlineStr">
        <is>
          <t>長いも（台湾等へ輸出）、じゃがいも。</t>
        </is>
      </c>
      <c r="G39" s="1" t="inlineStr">
        <is>
          <t>輸出向け長いもの徹底した品質管理と、選果場での大規模な人員確保。</t>
        </is>
      </c>
      <c r="H39" s="1" t="inlineStr">
        <is>
          <t>グローバルな視点を持つJAに対し、異文化理解や語学に強い人材紹介スキームを提案。</t>
        </is>
      </c>
      <c r="I39" s="1" t="n"/>
      <c r="J39" s="1" t="n"/>
      <c r="K39" s="1" t="n"/>
      <c r="L39" s="1" t="n"/>
      <c r="M39" s="1" t="n"/>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inlineStr">
        <is>
          <t>BREXA CrossBorder</t>
        </is>
      </c>
      <c r="AI39" s="1" t="inlineStr">
        <is>
          <t>武田 悦郎</t>
        </is>
      </c>
      <c r="AJ39" s="1" t="n"/>
      <c r="AK39" s="1" t="n"/>
      <c r="AL39" s="1" t="n"/>
      <c r="AM39" s="1" t="n"/>
      <c r="AN39" s="1" t="n"/>
      <c r="AO39" s="1" t="n"/>
      <c r="AP39">
        <f>COUNTIFS(加電履歴!$F:$F,A39,加電履歴!$E:$E,"JAリスト")</f>
        <v/>
      </c>
      <c r="AQ39" s="10">
        <f>IFERROR(IF(COUNTIFS(加電履歴!$F:$F,A39,加電履歴!$E:$E,"JAリスト")=0,"",MAXIFS(加電履歴!$B:$B,加電履歴!$F:$F,A39,加電履歴!$E:$E,"JAリスト")),"")</f>
        <v/>
      </c>
      <c r="AR39">
        <f>IFERROR(IF(COUNTIFS(加電履歴!$F:$F,A39,加電履歴!$E:$E,"JAリスト")=0,"",INDEX(加電履歴!$I:$I,MATCH(1,(加電履歴!$F:$F=A39)*(加電履歴!$E:$E="JAリスト")*(加電履歴!$B:$B=MAXIFS(加電履歴!$B:$B,加電履歴!$F:$F,A39,加電履歴!$E:$E,"JAリスト")),0))),"")</f>
        <v/>
      </c>
    </row>
    <row r="40" ht="12.5" customHeight="1">
      <c r="A40" t="inlineStr">
        <is>
          <t>道東</t>
        </is>
      </c>
      <c r="B40" s="13" t="inlineStr">
        <is>
          <t>JAおびひろ ※2003年JA帯広かわにしへ合併・現存せず</t>
        </is>
      </c>
      <c r="C40" s="14" t="inlineStr"/>
      <c r="D40" s="13" t="inlineStr">
        <is>
          <t>※旧帯広市農協はJA帯広かわにしに統合済み (Row 39参照)</t>
        </is>
      </c>
      <c r="E40" s="13" t="inlineStr">
        <is>
          <t>※存続団体: JA帯広かわにし 0155-59-2111</t>
        </is>
      </c>
      <c r="F40" s="1" t="inlineStr">
        <is>
          <t>畑作全般、酪農。</t>
        </is>
      </c>
      <c r="G40" s="1" t="inlineStr">
        <is>
          <t>都市部と隣接する農業エリアでの、多様な労働力ニーズの混在。</t>
        </is>
      </c>
      <c r="H40" s="1" t="inlineStr">
        <is>
          <t>成果報酬型で導入リスクを排除しつつ、語学教育の知見を応用した独自の日本語サポートを提示。</t>
        </is>
      </c>
      <c r="I40" s="1" t="n"/>
      <c r="J40" s="1" t="n"/>
      <c r="K40" s="1" t="n"/>
      <c r="L40" s="1" t="n"/>
      <c r="M40" s="1" t="n"/>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inlineStr">
        <is>
          <t>BREXA CrossBorder</t>
        </is>
      </c>
      <c r="AI40" s="1" t="inlineStr">
        <is>
          <t>武田 悦郎</t>
        </is>
      </c>
      <c r="AJ40" s="1" t="n"/>
      <c r="AK40" s="1" t="n"/>
      <c r="AL40" s="1" t="n"/>
      <c r="AM40" s="1" t="n"/>
      <c r="AN40" s="1" t="n"/>
      <c r="AO40" s="1" t="n"/>
      <c r="AP40">
        <f>COUNTIFS(加電履歴!$F:$F,A40,加電履歴!$E:$E,"JAリスト")</f>
        <v/>
      </c>
      <c r="AQ40" s="10">
        <f>IFERROR(IF(COUNTIFS(加電履歴!$F:$F,A40,加電履歴!$E:$E,"JAリスト")=0,"",MAXIFS(加電履歴!$B:$B,加電履歴!$F:$F,A40,加電履歴!$E:$E,"JAリスト")),"")</f>
        <v/>
      </c>
      <c r="AR40">
        <f>IFERROR(IF(COUNTIFS(加電履歴!$F:$F,A40,加電履歴!$E:$E,"JAリスト")=0,"",INDEX(加電履歴!$I:$I,MATCH(1,(加電履歴!$F:$F=A40)*(加電履歴!$E:$E="JAリスト")*(加電履歴!$B:$B=MAXIFS(加電履歴!$B:$B,加電履歴!$F:$F,A40,加電履歴!$E:$E,"JAリスト")),0))),"")</f>
        <v/>
      </c>
    </row>
    <row r="41" ht="12.5" customHeight="1">
      <c r="A41" t="inlineStr">
        <is>
          <t>道東</t>
        </is>
      </c>
      <c r="B41" s="13" t="inlineStr">
        <is>
          <t>JAおとふけ</t>
        </is>
      </c>
      <c r="C41" s="12" t="inlineStr">
        <is>
          <t>https://www.ja-otofuke.jp/</t>
        </is>
      </c>
      <c r="D41" s="13" t="inlineStr">
        <is>
          <t>北海道河東郡音更町大通5丁目1番地 (〒080-0101) ※2024/7移転</t>
        </is>
      </c>
      <c r="E41" s="13" t="inlineStr">
        <is>
          <t>0155-42-8725</t>
        </is>
      </c>
      <c r="F41" s="1" t="inlineStr">
        <is>
          <t>小麦、豆類、てんさい、ブロッコリー。</t>
        </is>
      </c>
      <c r="G41" s="1" t="inlineStr">
        <is>
          <t>作付面積・生産量ともに国内トップクラスであり、圧倒的な数の労働力が必要。</t>
        </is>
      </c>
      <c r="H41" s="1" t="inlineStr">
        <is>
          <t>費用負担を最小化する補助金活用スキームと、手厚い通訳・翻訳サポートを提案。</t>
        </is>
      </c>
      <c r="I41" s="1" t="n"/>
      <c r="J41" s="1" t="n"/>
      <c r="K41" s="1" t="n"/>
      <c r="L41" s="1" t="n"/>
      <c r="M41" s="1" t="n"/>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inlineStr">
        <is>
          <t>BREXA CrossBorder</t>
        </is>
      </c>
      <c r="AI41" s="1" t="inlineStr">
        <is>
          <t>武田 悦郎</t>
        </is>
      </c>
      <c r="AJ41" s="1" t="n"/>
      <c r="AK41" s="1" t="n"/>
      <c r="AL41" s="1" t="n"/>
      <c r="AM41" s="1" t="n"/>
      <c r="AN41" s="1" t="n"/>
      <c r="AO41" s="1" t="n"/>
      <c r="AP41">
        <f>COUNTIFS(加電履歴!$F:$F,A41,加電履歴!$E:$E,"JAリスト")</f>
        <v/>
      </c>
      <c r="AQ41" s="10">
        <f>IFERROR(IF(COUNTIFS(加電履歴!$F:$F,A41,加電履歴!$E:$E,"JAリスト")=0,"",MAXIFS(加電履歴!$B:$B,加電履歴!$F:$F,A41,加電履歴!$E:$E,"JAリスト")),"")</f>
        <v/>
      </c>
      <c r="AR41">
        <f>IFERROR(IF(COUNTIFS(加電履歴!$F:$F,A41,加電履歴!$E:$E,"JAリスト")=0,"",INDEX(加電履歴!$I:$I,MATCH(1,(加電履歴!$F:$F=A41)*(加電履歴!$E:$E="JAリスト")*(加電履歴!$B:$B=MAXIFS(加電履歴!$B:$B,加電履歴!$F:$F,A41,加電履歴!$E:$E,"JAリスト")),0))),"")</f>
        <v/>
      </c>
    </row>
    <row r="42" ht="12.5" customHeight="1">
      <c r="A42" t="inlineStr">
        <is>
          <t>道東</t>
        </is>
      </c>
      <c r="B42" s="13" t="inlineStr">
        <is>
          <t>JA木野</t>
        </is>
      </c>
      <c r="C42" s="12" t="inlineStr">
        <is>
          <t>https://ja-kino.com/</t>
        </is>
      </c>
      <c r="D42" s="13" t="inlineStr">
        <is>
          <t>北海道河東郡音更町木野大通西7-1</t>
        </is>
      </c>
      <c r="E42" s="13" t="inlineStr">
        <is>
          <t>0155-31-2143</t>
        </is>
      </c>
      <c r="F42" s="1" t="inlineStr">
        <is>
          <t>ブロッコリー、大根、長ねぎ。</t>
        </is>
      </c>
      <c r="G42" s="1" t="inlineStr">
        <is>
          <t>鮮度が重要な野菜の収穫ピーク時における、確実な人員確保。</t>
        </is>
      </c>
      <c r="H42" s="1" t="inlineStr">
        <is>
          <t>語学教育による作業指示の正確な伝達をアピールし、収穫ロスを防ぐ高品質な労働力を提供。</t>
        </is>
      </c>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inlineStr">
        <is>
          <t>BREXA CrossBorder</t>
        </is>
      </c>
      <c r="AI42" s="1" t="inlineStr">
        <is>
          <t>武田 悦郎</t>
        </is>
      </c>
      <c r="AJ42" s="1" t="n"/>
      <c r="AK42" s="1" t="n"/>
      <c r="AL42" s="1" t="n"/>
      <c r="AM42" s="1" t="n"/>
      <c r="AN42" s="1" t="n"/>
      <c r="AO42" s="1" t="n"/>
      <c r="AP42">
        <f>COUNTIFS(加電履歴!$F:$F,A42,加電履歴!$E:$E,"JAリスト")</f>
        <v/>
      </c>
      <c r="AQ42" s="10">
        <f>IFERROR(IF(COUNTIFS(加電履歴!$F:$F,A42,加電履歴!$E:$E,"JAリスト")=0,"",MAXIFS(加電履歴!$B:$B,加電履歴!$F:$F,A42,加電履歴!$E:$E,"JAリスト")),"")</f>
        <v/>
      </c>
      <c r="AR42">
        <f>IFERROR(IF(COUNTIFS(加電履歴!$F:$F,A42,加電履歴!$E:$E,"JAリスト")=0,"",INDEX(加電履歴!$I:$I,MATCH(1,(加電履歴!$F:$F=A42)*(加電履歴!$E:$E="JAリスト")*(加電履歴!$B:$B=MAXIFS(加電履歴!$B:$B,加電履歴!$F:$F,A42,加電履歴!$E:$E,"JAリスト")),0))),"")</f>
        <v/>
      </c>
    </row>
    <row r="43" ht="12.5" customHeight="1">
      <c r="A43" t="inlineStr">
        <is>
          <t>道東</t>
        </is>
      </c>
      <c r="B43" s="13" t="inlineStr">
        <is>
          <t>JA士幌町</t>
        </is>
      </c>
      <c r="C43" s="12" t="inlineStr">
        <is>
          <t>https://www.ja-shihoro.or.jp/</t>
        </is>
      </c>
      <c r="D43" s="13" t="inlineStr">
        <is>
          <t>北海道河東郡士幌町字士幌西2線159番地</t>
        </is>
      </c>
      <c r="E43" s="13" t="inlineStr">
        <is>
          <t>01564-5-2311</t>
        </is>
      </c>
      <c r="F43" s="1" t="inlineStr">
        <is>
          <t>じゃがいも、肉牛、酪農。直営加工施設多数。</t>
        </is>
      </c>
      <c r="G43" s="1" t="inlineStr">
        <is>
          <t>JA直営工場があり、農場だけでなく加工工場での人員不足も深刻。</t>
        </is>
      </c>
      <c r="H43" s="1" t="inlineStr">
        <is>
          <t>農業と飲食料品製造業の双方の特定技能に対応できる点をアピールし、完全成果報酬で提案。</t>
        </is>
      </c>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inlineStr">
        <is>
          <t>BREXA CrossBorder</t>
        </is>
      </c>
      <c r="AI43" s="1" t="inlineStr">
        <is>
          <t>武田 悦郎</t>
        </is>
      </c>
      <c r="AJ43" s="1" t="n"/>
      <c r="AK43" s="1" t="n"/>
      <c r="AL43" s="1" t="n"/>
      <c r="AM43" s="1" t="n"/>
      <c r="AN43" s="1" t="n"/>
      <c r="AO43" s="1" t="n"/>
      <c r="AP43">
        <f>COUNTIFS(加電履歴!$F:$F,A43,加電履歴!$E:$E,"JAリスト")</f>
        <v/>
      </c>
      <c r="AQ43" s="10">
        <f>IFERROR(IF(COUNTIFS(加電履歴!$F:$F,A43,加電履歴!$E:$E,"JAリスト")=0,"",MAXIFS(加電履歴!$B:$B,加電履歴!$F:$F,A43,加電履歴!$E:$E,"JAリスト")),"")</f>
        <v/>
      </c>
      <c r="AR43">
        <f>IFERROR(IF(COUNTIFS(加電履歴!$F:$F,A43,加電履歴!$E:$E,"JAリスト")=0,"",INDEX(加電履歴!$I:$I,MATCH(1,(加電履歴!$F:$F=A43)*(加電履歴!$E:$E="JAリスト")*(加電履歴!$B:$B=MAXIFS(加電履歴!$B:$B,加電履歴!$F:$F,A43,加電履歴!$E:$E,"JAリスト")),0))),"")</f>
        <v/>
      </c>
    </row>
    <row r="44" ht="12.5" customHeight="1">
      <c r="A44" t="inlineStr">
        <is>
          <t>道東</t>
        </is>
      </c>
      <c r="B44" s="13" t="inlineStr">
        <is>
          <t>JA上士幌町</t>
        </is>
      </c>
      <c r="C44" s="12" t="inlineStr">
        <is>
          <t>https://ja-kamishihoro.or.jp/</t>
        </is>
      </c>
      <c r="D44" s="13" t="inlineStr">
        <is>
          <t>北海道河東郡上士幌町字上士幌東2線238 (〒080-1493)</t>
        </is>
      </c>
      <c r="E44" s="13" t="inlineStr">
        <is>
          <t>01564-2-2131</t>
        </is>
      </c>
      <c r="F44" s="1" t="inlineStr">
        <is>
          <t>酪農（ギガファーム多数）、畑作。</t>
        </is>
      </c>
      <c r="G44" s="1" t="inlineStr">
        <is>
          <t>1000頭規模のメガファームが多く、組織的な労務管理と専門的な人材が求められる。</t>
        </is>
      </c>
      <c r="H44" s="1" t="inlineStr">
        <is>
          <t>企業的農業経営を行う農場に対し、人材紹介から日本語教育までワンストップのHRサービスを提供。</t>
        </is>
      </c>
      <c r="I44" s="1" t="n"/>
      <c r="J44" s="1" t="n"/>
      <c r="K44" s="1" t="n"/>
      <c r="L44" s="1" t="n"/>
      <c r="M44" s="1" t="n"/>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inlineStr">
        <is>
          <t>BREXA CrossBorder</t>
        </is>
      </c>
      <c r="AI44" s="1" t="inlineStr">
        <is>
          <t>武田 悦郎</t>
        </is>
      </c>
      <c r="AJ44" s="1" t="n"/>
      <c r="AK44" s="1" t="n"/>
      <c r="AL44" s="1" t="n"/>
      <c r="AM44" s="1" t="n"/>
      <c r="AN44" s="1" t="n"/>
      <c r="AO44" s="1" t="n"/>
      <c r="AP44">
        <f>COUNTIFS(加電履歴!$F:$F,A44,加電履歴!$E:$E,"JAリスト")</f>
        <v/>
      </c>
      <c r="AQ44" s="10">
        <f>IFERROR(IF(COUNTIFS(加電履歴!$F:$F,A44,加電履歴!$E:$E,"JAリスト")=0,"",MAXIFS(加電履歴!$B:$B,加電履歴!$F:$F,A44,加電履歴!$E:$E,"JAリスト")),"")</f>
        <v/>
      </c>
      <c r="AR44">
        <f>IFERROR(IF(COUNTIFS(加電履歴!$F:$F,A44,加電履歴!$E:$E,"JAリスト")=0,"",INDEX(加電履歴!$I:$I,MATCH(1,(加電履歴!$F:$F=A44)*(加電履歴!$E:$E="JAリスト")*(加電履歴!$B:$B=MAXIFS(加電履歴!$B:$B,加電履歴!$F:$F,A44,加電履歴!$E:$E,"JAリスト")),0))),"")</f>
        <v/>
      </c>
    </row>
    <row r="45" ht="12.5" customHeight="1">
      <c r="A45" t="inlineStr">
        <is>
          <t>道東</t>
        </is>
      </c>
      <c r="B45" s="13" t="inlineStr">
        <is>
          <t>JA鹿追町</t>
        </is>
      </c>
      <c r="C45" s="12" t="inlineStr">
        <is>
          <t>https://www.ja-shikaoi.com/</t>
        </is>
      </c>
      <c r="D45" s="13" t="inlineStr">
        <is>
          <t>北海道河東郡鹿追町新町4丁目51番地 (〒081-0293)</t>
        </is>
      </c>
      <c r="E45" s="13" t="inlineStr">
        <is>
          <t>0156-66-2131</t>
        </is>
      </c>
      <c r="F45" s="1" t="inlineStr">
        <is>
          <t>酪農、てんさい。バイオガスプラント推進。</t>
        </is>
      </c>
      <c r="G45" s="1" t="inlineStr">
        <is>
          <t>環境保全型農業を進める中で、取り組みを理解し真面目に働く人材が必要。</t>
        </is>
      </c>
      <c r="H45" s="1" t="inlineStr">
        <is>
          <t>リスクのない成果報酬型をフックに、生活サポートや異文化理解講座を通じた高い定着率をアピール。</t>
        </is>
      </c>
      <c r="I45" s="1" t="n"/>
      <c r="J45" s="1" t="n"/>
      <c r="K45" s="1" t="n"/>
      <c r="L45" s="1" t="n"/>
      <c r="M45" s="1" t="n"/>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inlineStr">
        <is>
          <t>BREXA CrossBorder</t>
        </is>
      </c>
      <c r="AI45" s="1" t="inlineStr">
        <is>
          <t>武田 悦郎</t>
        </is>
      </c>
      <c r="AJ45" s="1" t="n"/>
      <c r="AK45" s="1" t="n"/>
      <c r="AL45" s="1" t="n"/>
      <c r="AM45" s="1" t="n"/>
      <c r="AN45" s="1" t="n"/>
      <c r="AO45" s="1" t="n"/>
      <c r="AP45">
        <f>COUNTIFS(加電履歴!$F:$F,A45,加電履歴!$E:$E,"JAリスト")</f>
        <v/>
      </c>
      <c r="AQ45" s="10">
        <f>IFERROR(IF(COUNTIFS(加電履歴!$F:$F,A45,加電履歴!$E:$E,"JAリスト")=0,"",MAXIFS(加電履歴!$B:$B,加電履歴!$F:$F,A45,加電履歴!$E:$E,"JAリスト")),"")</f>
        <v/>
      </c>
      <c r="AR45">
        <f>IFERROR(IF(COUNTIFS(加電履歴!$F:$F,A45,加電履歴!$E:$E,"JAリスト")=0,"",INDEX(加電履歴!$I:$I,MATCH(1,(加電履歴!$F:$F=A45)*(加電履歴!$E:$E="JAリスト")*(加電履歴!$B:$B=MAXIFS(加電履歴!$B:$B,加電履歴!$F:$F,A45,加電履歴!$E:$E,"JAリスト")),0))),"")</f>
        <v/>
      </c>
    </row>
    <row r="46" ht="12.5" customHeight="1">
      <c r="A46" t="inlineStr">
        <is>
          <t>道東</t>
        </is>
      </c>
      <c r="B46" s="13" t="inlineStr">
        <is>
          <t>JA新得町</t>
        </is>
      </c>
      <c r="C46" s="12" t="inlineStr">
        <is>
          <t>https://www.ja-shintoku.or.jp/</t>
        </is>
      </c>
      <c r="D46" s="13" t="inlineStr">
        <is>
          <t>北海道上川郡新得町1条南3丁目1</t>
        </is>
      </c>
      <c r="E46" s="13" t="inlineStr">
        <is>
          <t>0156-64-5021</t>
        </is>
      </c>
      <c r="F46" s="1" t="inlineStr">
        <is>
          <t>そば、酪農、肉牛。</t>
        </is>
      </c>
      <c r="G46" s="1" t="inlineStr">
        <is>
          <t>そばの収穫・加工や、酪農での年間を通じた労働力不足。</t>
        </is>
      </c>
      <c r="H46" s="1" t="inlineStr">
        <is>
          <t>語学教育のバックグラウンドを活かし、地域とのトラブルを防ぐための事前教育の徹底を強みとする。</t>
        </is>
      </c>
      <c r="I46" s="1" t="n"/>
      <c r="J46" s="1" t="n"/>
      <c r="K46" s="1" t="n"/>
      <c r="L46" s="1" t="n"/>
      <c r="M46" s="1" t="n"/>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inlineStr">
        <is>
          <t>BREXA CrossBorder</t>
        </is>
      </c>
      <c r="AI46" s="1" t="inlineStr">
        <is>
          <t>武田 悦郎</t>
        </is>
      </c>
      <c r="AJ46" s="1" t="n"/>
      <c r="AK46" s="1" t="n"/>
      <c r="AL46" s="1" t="n"/>
      <c r="AM46" s="1" t="n"/>
      <c r="AN46" s="1" t="n"/>
      <c r="AO46" s="1" t="n"/>
      <c r="AP46">
        <f>COUNTIFS(加電履歴!$F:$F,A46,加電履歴!$E:$E,"JAリスト")</f>
        <v/>
      </c>
      <c r="AQ46" s="10">
        <f>IFERROR(IF(COUNTIFS(加電履歴!$F:$F,A46,加電履歴!$E:$E,"JAリスト")=0,"",MAXIFS(加電履歴!$B:$B,加電履歴!$F:$F,A46,加電履歴!$E:$E,"JAリスト")),"")</f>
        <v/>
      </c>
      <c r="AR46">
        <f>IFERROR(IF(COUNTIFS(加電履歴!$F:$F,A46,加電履歴!$E:$E,"JAリスト")=0,"",INDEX(加電履歴!$I:$I,MATCH(1,(加電履歴!$F:$F=A46)*(加電履歴!$E:$E="JAリスト")*(加電履歴!$B:$B=MAXIFS(加電履歴!$B:$B,加電履歴!$F:$F,A46,加電履歴!$E:$E,"JAリスト")),0))),"")</f>
        <v/>
      </c>
    </row>
    <row r="47" ht="12.5" customHeight="1">
      <c r="A47" t="inlineStr">
        <is>
          <t>道東</t>
        </is>
      </c>
      <c r="B47" s="13" t="inlineStr">
        <is>
          <t>JA阿寒</t>
        </is>
      </c>
      <c r="C47" s="12" t="inlineStr">
        <is>
          <t>http://www.ja-akan.or.jp/</t>
        </is>
      </c>
      <c r="D47" s="13" t="inlineStr">
        <is>
          <t>北海道釧路市阿寒町北新町1-4-1 (〒085-0216)</t>
        </is>
      </c>
      <c r="E47" s="13" t="inlineStr">
        <is>
          <t>0154-66-3211</t>
        </is>
      </c>
      <c r="F47" s="1" t="inlineStr">
        <is>
          <t>酪農、肉牛、エゾシカ肉加工。</t>
        </is>
      </c>
      <c r="G47" s="1" t="inlineStr">
        <is>
          <t>大規模酪農地帯であり、搾乳作業など年間を通じて安定した人員が必要。</t>
        </is>
      </c>
      <c r="H47" s="1" t="inlineStr">
        <is>
          <t>補助金採択を条件とすることで、初期費用に悩む酪農家へのアプローチを容易にする。</t>
        </is>
      </c>
      <c r="I47" s="1" t="n"/>
      <c r="J47" s="1" t="n"/>
      <c r="K47" s="1" t="n"/>
      <c r="L47" s="1" t="n"/>
      <c r="M47" s="1" t="n"/>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inlineStr">
        <is>
          <t>BREXA CrossBorder</t>
        </is>
      </c>
      <c r="AI47" s="1" t="inlineStr">
        <is>
          <t>武田 悦郎</t>
        </is>
      </c>
      <c r="AJ47" s="1" t="n"/>
      <c r="AK47" s="1" t="n"/>
      <c r="AL47" s="1" t="n"/>
      <c r="AM47" s="1" t="n"/>
      <c r="AN47" s="1" t="n"/>
      <c r="AO47" s="1" t="n"/>
      <c r="AP47">
        <f>COUNTIFS(加電履歴!$F:$F,A47,加電履歴!$E:$E,"JAリスト")</f>
        <v/>
      </c>
      <c r="AQ47" s="10">
        <f>IFERROR(IF(COUNTIFS(加電履歴!$F:$F,A47,加電履歴!$E:$E,"JAリスト")=0,"",MAXIFS(加電履歴!$B:$B,加電履歴!$F:$F,A47,加電履歴!$E:$E,"JAリスト")),"")</f>
        <v/>
      </c>
      <c r="AR47">
        <f>IFERROR(IF(COUNTIFS(加電履歴!$F:$F,A47,加電履歴!$E:$E,"JAリスト")=0,"",INDEX(加電履歴!$I:$I,MATCH(1,(加電履歴!$F:$F=A47)*(加電履歴!$E:$E="JAリスト")*(加電履歴!$B:$B=MAXIFS(加電履歴!$B:$B,加電履歴!$F:$F,A47,加電履歴!$E:$E,"JAリスト")),0))),"")</f>
        <v/>
      </c>
    </row>
    <row r="48" ht="12.5" customHeight="1">
      <c r="A48" t="inlineStr">
        <is>
          <t>道東</t>
        </is>
      </c>
      <c r="B48" s="13" t="inlineStr">
        <is>
          <t>JAしべちゃ</t>
        </is>
      </c>
      <c r="C48" s="12" t="inlineStr">
        <is>
          <t>https://www.sip.jp/~ja-shibecya/</t>
        </is>
      </c>
      <c r="D48" s="13" t="inlineStr">
        <is>
          <t>北海道川上郡標茶町開運9丁目6番地 (〒088-2311)</t>
        </is>
      </c>
      <c r="E48" s="13" t="inlineStr">
        <is>
          <t>015-485-2103</t>
        </is>
      </c>
      <c r="F48" s="1" t="inlineStr">
        <is>
          <t>酪農（広大な放牧地）、肉牛。</t>
        </is>
      </c>
      <c r="G48" s="1" t="inlineStr">
        <is>
          <t>広大な面積を誇るため、孤立しがちな環境における外国人材のメンタルケアが課題。</t>
        </is>
      </c>
      <c r="H48" s="1" t="inlineStr">
        <is>
          <t>定期的な訪問や「やさしい日本語講座」を通じた細やかなメンタルサポート体制を強調する。</t>
        </is>
      </c>
      <c r="I48" s="1" t="n"/>
      <c r="J48" s="1" t="n"/>
      <c r="K48" s="1" t="n"/>
      <c r="L48" s="1" t="n"/>
      <c r="M48" s="1" t="n"/>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inlineStr">
        <is>
          <t>BREXA CrossBorder</t>
        </is>
      </c>
      <c r="AI48" s="1" t="inlineStr">
        <is>
          <t>武田 悦郎</t>
        </is>
      </c>
      <c r="AJ48" s="1" t="n"/>
      <c r="AK48" s="1" t="n"/>
      <c r="AL48" s="1" t="n"/>
      <c r="AM48" s="1" t="n"/>
      <c r="AN48" s="1" t="n"/>
      <c r="AO48" s="1" t="n"/>
      <c r="AP48">
        <f>COUNTIFS(加電履歴!$F:$F,A48,加電履歴!$E:$E,"JAリスト")</f>
        <v/>
      </c>
      <c r="AQ48" s="10">
        <f>IFERROR(IF(COUNTIFS(加電履歴!$F:$F,A48,加電履歴!$E:$E,"JAリスト")=0,"",MAXIFS(加電履歴!$B:$B,加電履歴!$F:$F,A48,加電履歴!$E:$E,"JAリスト")),"")</f>
        <v/>
      </c>
      <c r="AR48">
        <f>IFERROR(IF(COUNTIFS(加電履歴!$F:$F,A48,加電履歴!$E:$E,"JAリスト")=0,"",INDEX(加電履歴!$I:$I,MATCH(1,(加電履歴!$F:$F=A48)*(加電履歴!$E:$E="JAリスト")*(加電履歴!$B:$B=MAXIFS(加電履歴!$B:$B,加電履歴!$F:$F,A48,加電履歴!$E:$E,"JAリスト")),0))),"")</f>
        <v/>
      </c>
    </row>
    <row r="49" ht="12.5" customHeight="1">
      <c r="A49" t="inlineStr">
        <is>
          <t>道東</t>
        </is>
      </c>
      <c r="B49" s="13" t="inlineStr">
        <is>
          <t>JA道東あさひ</t>
        </is>
      </c>
      <c r="C49" s="12" t="inlineStr">
        <is>
          <t>https://www.ja-doutouasahi.or.jp/</t>
        </is>
      </c>
      <c r="D49" s="13" t="inlineStr">
        <is>
          <t>北海道野付郡別海町別海緑町116番地9 (〒086-0214)</t>
        </is>
      </c>
      <c r="E49" s="13" t="inlineStr">
        <is>
          <t>0153-75-2201</t>
        </is>
      </c>
      <c r="F49" s="1" t="inlineStr">
        <is>
          <t>生乳生産量日本一の超大規模酪農。</t>
        </is>
      </c>
      <c r="G49" s="1" t="inlineStr">
        <is>
          <t>ヘルパー不足・後継者不足により、外国人材なしでは産業維持が不可能。</t>
        </is>
      </c>
      <c r="H49" s="1" t="inlineStr">
        <is>
          <t>完全成果報酬型により、JAを通じ管内の全酪農家へリスクなしで一斉アプローチできる設計を提案。</t>
        </is>
      </c>
      <c r="I49" s="1" t="n"/>
      <c r="J49" s="1" t="n"/>
      <c r="K49" s="1" t="n"/>
      <c r="L49" s="1" t="n"/>
      <c r="M49" s="1" t="n"/>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inlineStr">
        <is>
          <t>BREXA CrossBorder</t>
        </is>
      </c>
      <c r="AI49" s="1" t="inlineStr">
        <is>
          <t>武田 悦郎</t>
        </is>
      </c>
      <c r="AJ49" s="1" t="n"/>
      <c r="AK49" s="1" t="n"/>
      <c r="AL49" s="1" t="n"/>
      <c r="AM49" s="1" t="n"/>
      <c r="AN49" s="1" t="n"/>
      <c r="AO49" s="1" t="n"/>
      <c r="AP49">
        <f>COUNTIFS(加電履歴!$F:$F,A49,加電履歴!$E:$E,"JAリスト")</f>
        <v/>
      </c>
      <c r="AQ49" s="10">
        <f>IFERROR(IF(COUNTIFS(加電履歴!$F:$F,A49,加電履歴!$E:$E,"JAリスト")=0,"",MAXIFS(加電履歴!$B:$B,加電履歴!$F:$F,A49,加電履歴!$E:$E,"JAリスト")),"")</f>
        <v/>
      </c>
      <c r="AR49">
        <f>IFERROR(IF(COUNTIFS(加電履歴!$F:$F,A49,加電履歴!$E:$E,"JAリスト")=0,"",INDEX(加電履歴!$I:$I,MATCH(1,(加電履歴!$F:$F=A49)*(加電履歴!$E:$E="JAリスト")*(加電履歴!$B:$B=MAXIFS(加電履歴!$B:$B,加電履歴!$F:$F,A49,加電履歴!$E:$E,"JAリスト")),0))),"")</f>
        <v/>
      </c>
    </row>
    <row r="50" ht="12.5" customHeight="1">
      <c r="A50" t="inlineStr">
        <is>
          <t>道東</t>
        </is>
      </c>
      <c r="B50" s="13" t="inlineStr">
        <is>
          <t>JAなかしゅんべつ (中春別農業協同組合)</t>
        </is>
      </c>
      <c r="C50" s="12" t="inlineStr">
        <is>
          <t>http://ja-nks.jp/</t>
        </is>
      </c>
      <c r="D50" s="13" t="inlineStr">
        <is>
          <t>北海道野付郡別海町中春別南町3 (〒086-0652)</t>
        </is>
      </c>
      <c r="E50" s="13" t="inlineStr">
        <is>
          <t>01537-6-2311</t>
        </is>
      </c>
      <c r="F50" s="1" t="inlineStr">
        <is>
          <t>酪農専業地帯。</t>
        </is>
      </c>
      <c r="G50" s="1" t="inlineStr">
        <is>
          <t>家族経営から法人化への移行期にあり、労務管理や外国人材の教育ノウハウがない。</t>
        </is>
      </c>
      <c r="H50" s="1" t="inlineStr">
        <is>
          <t>人材紹介とセットで提供する語学・コミュニケーション教育の専門性を提示し、教育コスト削減をアピール。</t>
        </is>
      </c>
      <c r="I50" s="1" t="n"/>
      <c r="J50" s="1" t="n"/>
      <c r="K50" s="1" t="n"/>
      <c r="L50" s="1" t="n"/>
      <c r="M50" s="1" t="n"/>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inlineStr">
        <is>
          <t>BREXA CrossBorder</t>
        </is>
      </c>
      <c r="AI50" s="1" t="inlineStr">
        <is>
          <t>武田 悦郎</t>
        </is>
      </c>
      <c r="AJ50" s="1" t="n"/>
      <c r="AK50" s="1" t="n"/>
      <c r="AL50" s="1" t="n"/>
      <c r="AM50" s="1" t="n"/>
      <c r="AN50" s="1" t="n"/>
      <c r="AO50" s="1" t="n"/>
      <c r="AP50">
        <f>COUNTIFS(加電履歴!$F:$F,A50,加電履歴!$E:$E,"JAリスト")</f>
        <v/>
      </c>
      <c r="AQ50" s="10">
        <f>IFERROR(IF(COUNTIFS(加電履歴!$F:$F,A50,加電履歴!$E:$E,"JAリスト")=0,"",MAXIFS(加電履歴!$B:$B,加電履歴!$F:$F,A50,加電履歴!$E:$E,"JAリスト")),"")</f>
        <v/>
      </c>
      <c r="AR50">
        <f>IFERROR(IF(COUNTIFS(加電履歴!$F:$F,A50,加電履歴!$E:$E,"JAリスト")=0,"",INDEX(加電履歴!$I:$I,MATCH(1,(加電履歴!$F:$F=A50)*(加電履歴!$E:$E="JAリスト")*(加電履歴!$B:$B=MAXIFS(加電履歴!$B:$B,加電履歴!$F:$F,A50,加電履歴!$E:$E,"JAリスト")),0))),"")</f>
        <v/>
      </c>
    </row>
    <row r="51" ht="12.5" customHeight="1">
      <c r="A51" t="inlineStr">
        <is>
          <t>道東</t>
        </is>
      </c>
      <c r="B51" s="13" t="inlineStr">
        <is>
          <t>JA標津</t>
        </is>
      </c>
      <c r="C51" s="12" t="inlineStr">
        <is>
          <t>https://www.ja-shibetsu.com/</t>
        </is>
      </c>
      <c r="D51" s="13" t="inlineStr">
        <is>
          <t>北海道標津郡標津町字川北基線西2番地</t>
        </is>
      </c>
      <c r="E51" s="13" t="inlineStr">
        <is>
          <t>0153-85-2121</t>
        </is>
      </c>
      <c r="F51" s="1" t="inlineStr">
        <is>
          <t>酪農中心。</t>
        </is>
      </c>
      <c r="G51" s="1" t="inlineStr">
        <is>
          <t>根室エリア特有の気候や生活環境への適応が、外国人材定着の鍵となる。</t>
        </is>
      </c>
      <c r="H51" s="1" t="inlineStr">
        <is>
          <t>入国前のオリエンテーションと、語学教育ノウハウを活かした現地での手厚い生活支援を約束する。</t>
        </is>
      </c>
      <c r="I51" s="1" t="n"/>
      <c r="J51" s="1" t="n"/>
      <c r="K51" s="1" t="n"/>
      <c r="L51" s="1" t="n"/>
      <c r="M51" s="1" t="n"/>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inlineStr">
        <is>
          <t>BREXA CrossBorder</t>
        </is>
      </c>
      <c r="AI51" s="1" t="inlineStr">
        <is>
          <t>武田 悦郎</t>
        </is>
      </c>
      <c r="AJ51" s="1" t="n"/>
      <c r="AK51" s="1" t="n"/>
      <c r="AL51" s="1" t="n"/>
      <c r="AM51" s="1" t="n"/>
      <c r="AN51" s="1" t="n"/>
      <c r="AO51" s="1" t="n"/>
      <c r="AP51">
        <f>COUNTIFS(加電履歴!$F:$F,A51,加電履歴!$E:$E,"JAリスト")</f>
        <v/>
      </c>
      <c r="AQ51" s="10">
        <f>IFERROR(IF(COUNTIFS(加電履歴!$F:$F,A51,加電履歴!$E:$E,"JAリスト")=0,"",MAXIFS(加電履歴!$B:$B,加電履歴!$F:$F,A51,加電履歴!$E:$E,"JAリスト")),"")</f>
        <v/>
      </c>
      <c r="AR51">
        <f>IFERROR(IF(COUNTIFS(加電履歴!$F:$F,A51,加電履歴!$E:$E,"JAリスト")=0,"",INDEX(加電履歴!$I:$I,MATCH(1,(加電履歴!$F:$F=A51)*(加電履歴!$E:$E="JAリスト")*(加電履歴!$B:$B=MAXIFS(加電履歴!$B:$B,加電履歴!$F:$F,A51,加電履歴!$E:$E,"JAリスト")),0))),"")</f>
        <v/>
      </c>
    </row>
    <row r="52" ht="12.5" customHeight="1">
      <c r="A52" t="inlineStr">
        <is>
          <t>道東</t>
        </is>
      </c>
      <c r="B52" s="17" t="inlineStr">
        <is>
          <t>JAオホーツク網走</t>
        </is>
      </c>
      <c r="C52" s="16" t="inlineStr">
        <is>
          <t>https://ja-okhotskabashiri.or.jp/</t>
        </is>
      </c>
      <c r="D52" s="17" t="inlineStr">
        <is>
          <t>北海道網走市南4条東2丁目10番地 (〒093-8728)</t>
        </is>
      </c>
      <c r="E52" s="17" t="inlineStr">
        <is>
          <t>0152-43-2311</t>
        </is>
      </c>
      <c r="F52" s="17" t="inlineStr">
        <is>
          <t>網走市・大空町(女満別)・東藻琴の広域JA。米・小麦・じゃがいも・てんさい・玉ねぎ・ブランド牛「オホーツクあばしり和牛」。</t>
        </is>
      </c>
      <c r="G52" s="17" t="inlineStr">
        <is>
          <t>畑作と畜産の複合経営、選果場での労働力不足。</t>
        </is>
      </c>
      <c r="H52" s="17" t="inlineStr">
        <is>
          <t>オホーツク地域の主要JAとして、補助金活用と完全成果報酬型を提示しながら、広域組合員への一斉アプローチを提案。</t>
        </is>
      </c>
      <c r="I52" s="1" t="n"/>
      <c r="J52" s="1" t="n"/>
      <c r="K52" s="1" t="n"/>
      <c r="L52" s="1" t="n"/>
      <c r="M52" s="1" t="n"/>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c r="AK52" s="1" t="n"/>
      <c r="AL52" s="1" t="n"/>
      <c r="AM52" s="1" t="n"/>
      <c r="AN52" s="1" t="n"/>
      <c r="AO52" s="1" t="n"/>
      <c r="AP52">
        <f>COUNTIFS(加電履歴!$F:$F,A52,加電履歴!$E:$E,"JAリスト")</f>
        <v/>
      </c>
      <c r="AQ52" s="10">
        <f>IFERROR(IF(COUNTIFS(加電履歴!$F:$F,A52,加電履歴!$E:$E,"JAリスト")=0,"",MAXIFS(加電履歴!$B:$B,加電履歴!$F:$F,A52,加電履歴!$E:$E,"JAリスト")),"")</f>
        <v/>
      </c>
      <c r="AR52">
        <f>IFERROR(IF(COUNTIFS(加電履歴!$F:$F,A52,加電履歴!$E:$E,"JAリスト")=0,"",INDEX(加電履歴!$I:$I,MATCH(1,(加電履歴!$F:$F=A52)*(加電履歴!$E:$E="JAリスト")*(加電履歴!$B:$B=MAXIFS(加電履歴!$B:$B,加電履歴!$F:$F,A52,加電履歴!$E:$E,"JAリスト")),0))),"")</f>
        <v/>
      </c>
    </row>
    <row r="53" ht="12.5" customHeight="1">
      <c r="A53" t="inlineStr"/>
      <c r="B53" s="1" t="n"/>
      <c r="D53" s="1" t="n"/>
      <c r="E53" s="1" t="n"/>
      <c r="F53" s="1" t="n"/>
      <c r="G53" s="1" t="n"/>
      <c r="H53" s="1" t="n"/>
      <c r="I53" s="1" t="n"/>
      <c r="J53" s="1" t="n"/>
      <c r="K53" s="1" t="n"/>
      <c r="L53" s="1" t="n"/>
      <c r="M53" s="1" t="n"/>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c r="AK53" s="1" t="n"/>
      <c r="AL53" s="1" t="n"/>
      <c r="AM53" s="1" t="n"/>
      <c r="AN53" s="1" t="n"/>
      <c r="AO53" s="1" t="n"/>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4" r:id="rId22"/>
    <hyperlink xmlns:r="http://schemas.openxmlformats.org/officeDocument/2006/relationships" ref="B27" r:id="rId23"/>
    <hyperlink xmlns:r="http://schemas.openxmlformats.org/officeDocument/2006/relationships" ref="B28" r:id="rId24"/>
    <hyperlink xmlns:r="http://schemas.openxmlformats.org/officeDocument/2006/relationships" ref="B29" r:id="rId25"/>
    <hyperlink xmlns:r="http://schemas.openxmlformats.org/officeDocument/2006/relationships" ref="B30" r:id="rId26"/>
    <hyperlink xmlns:r="http://schemas.openxmlformats.org/officeDocument/2006/relationships" ref="B31" r:id="rId27"/>
    <hyperlink xmlns:r="http://schemas.openxmlformats.org/officeDocument/2006/relationships" ref="B32" r:id="rId28"/>
    <hyperlink xmlns:r="http://schemas.openxmlformats.org/officeDocument/2006/relationships" ref="B33" r:id="rId29"/>
    <hyperlink xmlns:r="http://schemas.openxmlformats.org/officeDocument/2006/relationships" ref="B34" r:id="rId30"/>
    <hyperlink xmlns:r="http://schemas.openxmlformats.org/officeDocument/2006/relationships" ref="B35" r:id="rId31"/>
    <hyperlink xmlns:r="http://schemas.openxmlformats.org/officeDocument/2006/relationships" ref="B36" r:id="rId32"/>
    <hyperlink xmlns:r="http://schemas.openxmlformats.org/officeDocument/2006/relationships" ref="B37" r:id="rId33"/>
    <hyperlink xmlns:r="http://schemas.openxmlformats.org/officeDocument/2006/relationships" ref="B38" r:id="rId34"/>
    <hyperlink xmlns:r="http://schemas.openxmlformats.org/officeDocument/2006/relationships" ref="B39" r:id="rId35"/>
    <hyperlink xmlns:r="http://schemas.openxmlformats.org/officeDocument/2006/relationships" ref="B41" r:id="rId36"/>
    <hyperlink xmlns:r="http://schemas.openxmlformats.org/officeDocument/2006/relationships" ref="B42" r:id="rId37"/>
    <hyperlink xmlns:r="http://schemas.openxmlformats.org/officeDocument/2006/relationships" ref="B43" r:id="rId38"/>
    <hyperlink xmlns:r="http://schemas.openxmlformats.org/officeDocument/2006/relationships" ref="B44" r:id="rId39"/>
    <hyperlink xmlns:r="http://schemas.openxmlformats.org/officeDocument/2006/relationships" ref="B45" r:id="rId40"/>
    <hyperlink xmlns:r="http://schemas.openxmlformats.org/officeDocument/2006/relationships" ref="B46" r:id="rId41"/>
    <hyperlink xmlns:r="http://schemas.openxmlformats.org/officeDocument/2006/relationships" ref="B47" r:id="rId42"/>
    <hyperlink xmlns:r="http://schemas.openxmlformats.org/officeDocument/2006/relationships" ref="B48" r:id="rId43"/>
    <hyperlink xmlns:r="http://schemas.openxmlformats.org/officeDocument/2006/relationships" ref="B49" r:id="rId44"/>
    <hyperlink xmlns:r="http://schemas.openxmlformats.org/officeDocument/2006/relationships" ref="B50" r:id="rId45"/>
    <hyperlink xmlns:r="http://schemas.openxmlformats.org/officeDocument/2006/relationships" ref="B51" r:id="rId46"/>
    <hyperlink xmlns:r="http://schemas.openxmlformats.org/officeDocument/2006/relationships" ref="B52" r:id="rId47"/>
  </hyperlinks>
  <pageMargins left="0.7" right="0.7" top="0.75" bottom="0.75" header="0.3" footer="0.3"/>
  <pageSetup orientation="portrait" paperSize="9"/>
  <tableParts count="1">
    <tablePart xmlns:r="http://schemas.openxmlformats.org/officeDocument/2006/relationships" r:id="rId48"/>
  </tableParts>
</worksheet>
</file>

<file path=xl/worksheets/sheet4.xml><?xml version="1.0" encoding="utf-8"?>
<worksheet xmlns="http://schemas.openxmlformats.org/spreadsheetml/2006/main">
  <sheetPr>
    <outlinePr summaryBelow="1" summaryRight="1"/>
    <pageSetUpPr/>
  </sheetPr>
  <dimension ref="A1:AS102"/>
  <sheetViews>
    <sheetView tabSelected="1" workbookViewId="0">
      <selection activeCell="F16" sqref="F16"/>
    </sheetView>
  </sheetViews>
  <sheetFormatPr baseColWidth="8" defaultColWidth="12.6328125" defaultRowHeight="12.5"/>
  <cols>
    <col width="6.453125" customWidth="1" min="1" max="1"/>
    <col width="24.08984375" customWidth="1" min="2" max="2"/>
    <col width="40" customWidth="1" min="3" max="3"/>
    <col width="31.81640625" customWidth="1" min="5" max="5"/>
    <col width="34.7265625" customWidth="1" min="6" max="6"/>
    <col width="63.36328125" customWidth="1" min="7" max="7"/>
    <col width="14" customWidth="1" min="43" max="43"/>
    <col width="14" customWidth="1" min="44" max="44"/>
    <col width="14" customWidth="1" min="45" max="45"/>
  </cols>
  <sheetData>
    <row r="1" ht="13" customFormat="1" customHeight="1" s="8">
      <c r="A1" s="7" t="inlineStr">
        <is>
          <t>エリア</t>
        </is>
      </c>
      <c r="B1" s="7" t="inlineStr">
        <is>
          <t>企業名</t>
        </is>
      </c>
      <c r="C1" s="7" t="inlineStr">
        <is>
          <t>ホームページ</t>
        </is>
      </c>
      <c r="D1" s="7" t="inlineStr">
        <is>
          <t>住所</t>
        </is>
      </c>
      <c r="E1" s="7" t="inlineStr">
        <is>
          <t>電話番号</t>
        </is>
      </c>
      <c r="F1" s="7" t="inlineStr">
        <is>
          <t>地域の農業特徴・特産品情報</t>
        </is>
      </c>
      <c r="G1" s="7" t="inlineStr">
        <is>
          <t>想定される課題・アプローチのポイント</t>
        </is>
      </c>
      <c r="H1" s="7" t="inlineStr">
        <is>
          <t>提案の切り口（自社サービス・強み）</t>
        </is>
      </c>
      <c r="I1" s="7" t="inlineStr">
        <is>
          <t>担当部署</t>
        </is>
      </c>
      <c r="J1" s="7" t="inlineStr">
        <is>
          <t>役職</t>
        </is>
      </c>
      <c r="K1" s="7" t="inlineStr">
        <is>
          <t>担当者</t>
        </is>
      </c>
      <c r="L1" s="7" t="inlineStr">
        <is>
          <t>活用状況</t>
        </is>
      </c>
      <c r="M1" s="7" t="inlineStr">
        <is>
          <t>実習人数</t>
        </is>
      </c>
      <c r="N1" s="7" t="inlineStr">
        <is>
          <t>実習_国籍</t>
        </is>
      </c>
      <c r="O1" s="7" t="inlineStr">
        <is>
          <t>特技人数</t>
        </is>
      </c>
      <c r="P1" s="7" t="inlineStr">
        <is>
          <t>特技_国籍</t>
        </is>
      </c>
      <c r="Q1" s="7" t="inlineStr">
        <is>
          <t>既存状況</t>
        </is>
      </c>
      <c r="R1" s="7" t="inlineStr">
        <is>
          <t>営業状況</t>
        </is>
      </c>
      <c r="S1" s="7" t="inlineStr">
        <is>
          <t>ステータス</t>
        </is>
      </c>
      <c r="T1" s="7" t="inlineStr">
        <is>
          <t>進捗</t>
        </is>
      </c>
      <c r="U1" s="7" t="inlineStr">
        <is>
          <t>初回訪問日</t>
        </is>
      </c>
      <c r="V1" s="7" t="inlineStr">
        <is>
          <t>最終コンタクト日</t>
        </is>
      </c>
      <c r="W1" s="7" t="inlineStr">
        <is>
          <t>最終経過日数</t>
        </is>
      </c>
      <c r="X1" s="7" t="inlineStr">
        <is>
          <t>訪問履歴</t>
        </is>
      </c>
      <c r="Y1" s="7" t="inlineStr">
        <is>
          <t>最終アクション（日付・結果/詳細）</t>
        </is>
      </c>
      <c r="Z1" s="7" t="inlineStr">
        <is>
          <t>日付</t>
        </is>
      </c>
      <c r="AA1" s="7" t="inlineStr">
        <is>
          <t>行動</t>
        </is>
      </c>
      <c r="AB1" s="7" t="inlineStr">
        <is>
          <t>次回アクション予定</t>
        </is>
      </c>
      <c r="AC1" s="7" t="inlineStr">
        <is>
          <t>予定日</t>
        </is>
      </c>
      <c r="AD1" s="7" t="inlineStr">
        <is>
          <t>連携元</t>
        </is>
      </c>
      <c r="AE1" s="7" t="inlineStr">
        <is>
          <t>連携元所属</t>
        </is>
      </c>
      <c r="AF1" s="7" t="inlineStr">
        <is>
          <t>連携者</t>
        </is>
      </c>
      <c r="AG1" s="7" t="inlineStr">
        <is>
          <t>連携先</t>
        </is>
      </c>
      <c r="AH1" s="7" t="inlineStr">
        <is>
          <t>担当所属</t>
        </is>
      </c>
      <c r="AI1" s="7" t="inlineStr">
        <is>
          <t>営業担当</t>
        </is>
      </c>
      <c r="AJ1" s="7" t="inlineStr">
        <is>
          <t>受注日</t>
        </is>
      </c>
      <c r="AK1" s="7" t="inlineStr">
        <is>
          <t>受注内容</t>
        </is>
      </c>
      <c r="AL1" s="7" t="inlineStr">
        <is>
          <t>配属予定日</t>
        </is>
      </c>
      <c r="AM1" s="7" t="inlineStr">
        <is>
          <t>受注_国籍</t>
        </is>
      </c>
      <c r="AN1" s="7" t="inlineStr">
        <is>
          <t>受注_人数</t>
        </is>
      </c>
      <c r="AO1" s="7" t="inlineStr">
        <is>
          <t>状況</t>
        </is>
      </c>
      <c r="AP1" s="7" t="n"/>
      <c r="AQ1" s="7" t="inlineStr">
        <is>
          <t>加電回数</t>
        </is>
      </c>
      <c r="AR1" s="7" t="inlineStr">
        <is>
          <t>最終加電日</t>
        </is>
      </c>
      <c r="AS1" s="7" t="inlineStr">
        <is>
          <t>最終結果</t>
        </is>
      </c>
    </row>
    <row r="2" ht="15.75" customHeight="1">
      <c r="A2" s="9" t="inlineStr">
        <is>
          <t>道央</t>
        </is>
      </c>
      <c r="B2" s="18" t="inlineStr">
        <is>
          <t>株式会社Kalm角山</t>
        </is>
      </c>
      <c r="C2" s="12" t="inlineStr">
        <is>
          <t>https://www.kalm.co.jp/</t>
        </is>
      </c>
      <c r="D2" s="18" t="inlineStr">
        <is>
          <t>北海道江別市角山491</t>
        </is>
      </c>
      <c r="E2" s="18" t="inlineStr">
        <is>
          <t>011-378-6858</t>
        </is>
      </c>
      <c r="F2" s="9" t="inlineStr">
        <is>
          <t>都市型メガファーム/搾乳ロボット導入</t>
        </is>
      </c>
      <c r="G2" s="9" t="inlineStr">
        <is>
          <t>規模拡大に伴うオペレーター不足</t>
        </is>
      </c>
      <c r="H2" s="9" t="inlineStr">
        <is>
          <t>初期採用費用を抑え現場の即戦力となる特定技能人材をご提案</t>
        </is>
      </c>
      <c r="I2" s="9" t="inlineStr">
        <is>
          <t>経営企画部</t>
        </is>
      </c>
      <c r="J2" s="9" t="inlineStr">
        <is>
          <t>代表取締役</t>
        </is>
      </c>
      <c r="K2" s="9" t="inlineStr">
        <is>
          <t>川口谷 仁</t>
        </is>
      </c>
      <c r="L2" s="9" t="inlineStr">
        <is>
          <t>導入済</t>
        </is>
      </c>
      <c r="Q2" s="9" t="inlineStr">
        <is>
          <t>未開拓</t>
        </is>
      </c>
      <c r="R2" s="9" t="inlineStr">
        <is>
          <t>ターゲット</t>
        </is>
      </c>
      <c r="S2" s="9" t="inlineStr">
        <is>
          <t>リストアップ</t>
        </is>
      </c>
      <c r="AH2" s="9" t="inlineStr">
        <is>
          <t>営業推進部</t>
        </is>
      </c>
      <c r="AI2" s="9" t="inlineStr">
        <is>
          <t>武田 悦郎</t>
        </is>
      </c>
      <c r="AP2" s="9" t="inlineStr">
        <is>
          <t>未定</t>
        </is>
      </c>
      <c r="AQ2">
        <f>COUNTIFS(加電履歴!$F:$F,B2,加電履歴!$E:$E,"畜種農業")</f>
        <v/>
      </c>
      <c r="AR2" s="10">
        <f>IFERROR(IF(COUNTIFS(加電履歴!$F:$F,B2,加電履歴!$E:$E,"畜種農業")=0,"",MAXIFS(加電履歴!$B:$B,加電履歴!$F:$F,B2,加電履歴!$E:$E,"畜種農業")),"")</f>
        <v/>
      </c>
      <c r="AS2">
        <f>IFERROR(IF(COUNTIFS(加電履歴!$F:$F,B2,加電履歴!$E:$E,"畜種農業")=0,"",INDEX(加電履歴!$I:$I,MATCH(1,(加電履歴!$F:$F=B2)*(加電履歴!$E:$E="畜種農業")*(加電履歴!$B:$B=MAXIFS(加電履歴!$B:$B,加電履歴!$F:$F,B2,加電履歴!$E:$E,"畜種農業")),0))),"")</f>
        <v/>
      </c>
    </row>
    <row r="3" ht="15.75" customHeight="1">
      <c r="A3" s="9" t="inlineStr">
        <is>
          <t>道央</t>
        </is>
      </c>
      <c r="B3" s="18" t="inlineStr">
        <is>
          <t>株式会社町村農場</t>
        </is>
      </c>
      <c r="C3" s="12" t="inlineStr">
        <is>
          <t>http://www.machimura.co.jp/</t>
        </is>
      </c>
      <c r="D3" s="18" t="inlineStr">
        <is>
          <t>北海道江別市篠津183番地 (〒067-0055)</t>
        </is>
      </c>
      <c r="E3" s="18" t="inlineStr">
        <is>
          <t>011-382-2155</t>
        </is>
      </c>
      <c r="F3" s="9" t="inlineStr">
        <is>
          <t>自社ブランド乳製品の製造直販</t>
        </is>
      </c>
      <c r="G3" s="9" t="inlineStr">
        <is>
          <t>農場作業と加工販売の兼務による負担</t>
        </is>
      </c>
      <c r="H3" s="9" t="inlineStr">
        <is>
          <t>採用コストゼロで即戦力を配置し既存社員を販売業務へシフトさせる提案</t>
        </is>
      </c>
      <c r="I3" s="9" t="inlineStr">
        <is>
          <t>経営陣</t>
        </is>
      </c>
      <c r="J3" s="9" t="inlineStr">
        <is>
          <t>代表取締役</t>
        </is>
      </c>
      <c r="K3" s="9" t="inlineStr">
        <is>
          <t>町村 均</t>
        </is>
      </c>
      <c r="L3" s="9" t="inlineStr">
        <is>
          <t>未確認</t>
        </is>
      </c>
      <c r="Q3" s="9" t="inlineStr">
        <is>
          <t>未開拓</t>
        </is>
      </c>
      <c r="R3" s="9" t="inlineStr">
        <is>
          <t>ターゲット</t>
        </is>
      </c>
      <c r="S3" s="9" t="inlineStr">
        <is>
          <t>リストアップ</t>
        </is>
      </c>
      <c r="AH3" s="9" t="inlineStr">
        <is>
          <t>営業推進部</t>
        </is>
      </c>
      <c r="AI3" s="9" t="inlineStr">
        <is>
          <t>武田 悦郎</t>
        </is>
      </c>
      <c r="AP3" s="9" t="inlineStr">
        <is>
          <t>未定</t>
        </is>
      </c>
      <c r="AQ3">
        <f>COUNTIFS(加電履歴!$F:$F,B3,加電履歴!$E:$E,"畜種農業")</f>
        <v/>
      </c>
      <c r="AR3" s="10">
        <f>IFERROR(IF(COUNTIFS(加電履歴!$F:$F,B3,加電履歴!$E:$E,"畜種農業")=0,"",MAXIFS(加電履歴!$B:$B,加電履歴!$F:$F,B3,加電履歴!$E:$E,"畜種農業")),"")</f>
        <v/>
      </c>
      <c r="AS3">
        <f>IFERROR(IF(COUNTIFS(加電履歴!$F:$F,B3,加電履歴!$E:$E,"畜種農業")=0,"",INDEX(加電履歴!$I:$I,MATCH(1,(加電履歴!$F:$F=B3)*(加電履歴!$E:$E="畜種農業")*(加電履歴!$B:$B=MAXIFS(加電履歴!$B:$B,加電履歴!$F:$F,B3,加電履歴!$E:$E,"畜種農業")),0))),"")</f>
        <v/>
      </c>
    </row>
    <row r="4" ht="15.75" customHeight="1">
      <c r="A4" s="9" t="inlineStr">
        <is>
          <t>道央</t>
        </is>
      </c>
      <c r="B4" s="18" t="inlineStr">
        <is>
          <t>おおやファーム株式会社</t>
        </is>
      </c>
      <c r="C4" s="12" t="inlineStr">
        <is>
          <t>https://ooya-farm.com/</t>
        </is>
      </c>
      <c r="D4" s="18" t="inlineStr">
        <is>
          <t>北海道千歳市駒里2297 (〒066-0011)</t>
        </is>
      </c>
      <c r="E4" s="18" t="inlineStr">
        <is>
          <t>0123-40-6175</t>
        </is>
      </c>
      <c r="F4" s="9" t="inlineStr">
        <is>
          <t>ブランド豚「う米豚」一貫生産</t>
        </is>
      </c>
      <c r="G4" s="9" t="inlineStr">
        <is>
          <t>養豚の重労働による若手人材の定着難</t>
        </is>
      </c>
      <c r="H4" s="9" t="inlineStr">
        <is>
          <t>養豚現場に適応できる特定技能人材を余計な採用コストなしで即戦力として提供</t>
        </is>
      </c>
      <c r="I4" s="9" t="inlineStr">
        <is>
          <t>管理部</t>
        </is>
      </c>
      <c r="J4" s="9" t="inlineStr">
        <is>
          <t>代表取締役社長</t>
        </is>
      </c>
      <c r="K4" s="9" t="inlineStr">
        <is>
          <t>大矢 智彰</t>
        </is>
      </c>
      <c r="L4" s="9" t="inlineStr">
        <is>
          <t>未確認</t>
        </is>
      </c>
      <c r="Q4" s="9" t="inlineStr">
        <is>
          <t>未開拓</t>
        </is>
      </c>
      <c r="R4" s="9" t="inlineStr">
        <is>
          <t>ターゲット</t>
        </is>
      </c>
      <c r="S4" s="9" t="inlineStr">
        <is>
          <t>リストアップ</t>
        </is>
      </c>
      <c r="AH4" s="9" t="inlineStr">
        <is>
          <t>営業推進部</t>
        </is>
      </c>
      <c r="AI4" s="9" t="inlineStr">
        <is>
          <t>武田 悦郎</t>
        </is>
      </c>
      <c r="AP4" s="9" t="inlineStr">
        <is>
          <t>未定</t>
        </is>
      </c>
      <c r="AQ4">
        <f>COUNTIFS(加電履歴!$F:$F,B4,加電履歴!$E:$E,"畜種農業")</f>
        <v/>
      </c>
      <c r="AR4" s="10">
        <f>IFERROR(IF(COUNTIFS(加電履歴!$F:$F,B4,加電履歴!$E:$E,"畜種農業")=0,"",MAXIFS(加電履歴!$B:$B,加電履歴!$F:$F,B4,加電履歴!$E:$E,"畜種農業")),"")</f>
        <v/>
      </c>
      <c r="AS4">
        <f>IFERROR(IF(COUNTIFS(加電履歴!$F:$F,B4,加電履歴!$E:$E,"畜種農業")=0,"",INDEX(加電履歴!$I:$I,MATCH(1,(加電履歴!$F:$F=B4)*(加電履歴!$E:$E="畜種農業")*(加電履歴!$B:$B=MAXIFS(加電履歴!$B:$B,加電履歴!$F:$F,B4,加電履歴!$E:$E,"畜種農業")),0))),"")</f>
        <v/>
      </c>
    </row>
    <row r="5" ht="15.75" customHeight="1">
      <c r="A5" s="9" t="inlineStr">
        <is>
          <t>道央</t>
        </is>
      </c>
      <c r="B5" s="18" t="inlineStr">
        <is>
          <t>有限会社浅野農場</t>
        </is>
      </c>
      <c r="C5" s="12" t="inlineStr">
        <is>
          <t>https://asanofarm.com/</t>
        </is>
      </c>
      <c r="D5" s="18" t="inlineStr">
        <is>
          <t>北海道石狩郡当別町字上当別2190番地 (〒061-0207)</t>
        </is>
      </c>
      <c r="E5" s="18" t="inlineStr">
        <is>
          <t>0133-22-4129</t>
        </is>
      </c>
      <c r="F5" s="9" t="inlineStr">
        <is>
          <t>大規模SPF豚生産/複合経営</t>
        </is>
      </c>
      <c r="G5" s="9" t="inlineStr">
        <is>
          <t>繁忙期が重なる際の労働力不足</t>
        </is>
      </c>
      <c r="H5" s="9" t="inlineStr">
        <is>
          <t>複合経営に対応できる柔軟な即戦力人材を採用コストを抑えて提供</t>
        </is>
      </c>
      <c r="I5" s="9" t="inlineStr">
        <is>
          <t>管理部</t>
        </is>
      </c>
      <c r="J5" s="9" t="inlineStr">
        <is>
          <t>代表取締役</t>
        </is>
      </c>
      <c r="K5" s="9" t="inlineStr">
        <is>
          <t>浅野 政輝</t>
        </is>
      </c>
      <c r="L5" s="9" t="inlineStr">
        <is>
          <t>未確認</t>
        </is>
      </c>
      <c r="Q5" s="9" t="inlineStr">
        <is>
          <t>未開拓</t>
        </is>
      </c>
      <c r="R5" s="9" t="inlineStr">
        <is>
          <t>ターゲット</t>
        </is>
      </c>
      <c r="S5" s="9" t="inlineStr">
        <is>
          <t>リストアップ</t>
        </is>
      </c>
      <c r="AH5" s="9" t="inlineStr">
        <is>
          <t>営業推進部</t>
        </is>
      </c>
      <c r="AI5" s="9" t="inlineStr">
        <is>
          <t>武田 悦郎</t>
        </is>
      </c>
      <c r="AP5" s="9" t="inlineStr">
        <is>
          <t>未定</t>
        </is>
      </c>
      <c r="AQ5">
        <f>COUNTIFS(加電履歴!$F:$F,B5,加電履歴!$E:$E,"畜種農業")</f>
        <v/>
      </c>
      <c r="AR5" s="10">
        <f>IFERROR(IF(COUNTIFS(加電履歴!$F:$F,B5,加電履歴!$E:$E,"畜種農業")=0,"",MAXIFS(加電履歴!$B:$B,加電履歴!$F:$F,B5,加電履歴!$E:$E,"畜種農業")),"")</f>
        <v/>
      </c>
      <c r="AS5">
        <f>IFERROR(IF(COUNTIFS(加電履歴!$F:$F,B5,加電履歴!$E:$E,"畜種農業")=0,"",INDEX(加電履歴!$I:$I,MATCH(1,(加電履歴!$F:$F=B5)*(加電履歴!$E:$E="畜種農業")*(加電履歴!$B:$B=MAXIFS(加電履歴!$B:$B,加電履歴!$F:$F,B5,加電履歴!$E:$E,"畜種農業")),0))),"")</f>
        <v/>
      </c>
    </row>
    <row r="6" ht="15.75" customHeight="1">
      <c r="A6" s="9" t="inlineStr">
        <is>
          <t>道央</t>
        </is>
      </c>
      <c r="B6" s="18" t="inlineStr">
        <is>
          <t>有限会社永光農園</t>
        </is>
      </c>
      <c r="C6" s="12" t="inlineStr">
        <is>
          <t>https://nagamitsufarm.com/</t>
        </is>
      </c>
      <c r="D6" s="18" t="inlineStr">
        <is>
          <t>北海道札幌市清田区有明216番地</t>
        </is>
      </c>
      <c r="E6" s="18" t="inlineStr">
        <is>
          <t>011-886-7204</t>
        </is>
      </c>
      <c r="F6" s="9" t="inlineStr">
        <is>
          <t>平飼い養鶏/スイーツ店運営</t>
        </is>
      </c>
      <c r="G6" s="9" t="inlineStr">
        <is>
          <t>集卵や給餌作業と販売スタッフ不足</t>
        </is>
      </c>
      <c r="H6" s="9" t="inlineStr">
        <is>
          <t>養鶏ルーティンを即戦力に任せ代表が店舗運営に専念できる体制構築</t>
        </is>
      </c>
      <c r="I6" s="9" t="inlineStr">
        <is>
          <t>本社</t>
        </is>
      </c>
      <c r="J6" s="9" t="inlineStr">
        <is>
          <t>代表取締役</t>
        </is>
      </c>
      <c r="K6" s="9" t="inlineStr">
        <is>
          <t>永光 洋明</t>
        </is>
      </c>
      <c r="L6" s="9" t="inlineStr">
        <is>
          <t>未確認</t>
        </is>
      </c>
      <c r="Q6" s="9" t="inlineStr">
        <is>
          <t>未開拓</t>
        </is>
      </c>
      <c r="R6" s="9" t="inlineStr">
        <is>
          <t>ターゲット</t>
        </is>
      </c>
      <c r="S6" s="9" t="inlineStr">
        <is>
          <t>リストアップ</t>
        </is>
      </c>
      <c r="AH6" s="9" t="inlineStr">
        <is>
          <t>営業推進部</t>
        </is>
      </c>
      <c r="AI6" s="9" t="inlineStr">
        <is>
          <t>武田 悦郎</t>
        </is>
      </c>
      <c r="AP6" s="9" t="inlineStr">
        <is>
          <t>未定</t>
        </is>
      </c>
      <c r="AQ6">
        <f>COUNTIFS(加電履歴!$F:$F,B6,加電履歴!$E:$E,"畜種農業")</f>
        <v/>
      </c>
      <c r="AR6" s="10">
        <f>IFERROR(IF(COUNTIFS(加電履歴!$F:$F,B6,加電履歴!$E:$E,"畜種農業")=0,"",MAXIFS(加電履歴!$B:$B,加電履歴!$F:$F,B6,加電履歴!$E:$E,"畜種農業")),"")</f>
        <v/>
      </c>
      <c r="AS6">
        <f>IFERROR(IF(COUNTIFS(加電履歴!$F:$F,B6,加電履歴!$E:$E,"畜種農業")=0,"",INDEX(加電履歴!$I:$I,MATCH(1,(加電履歴!$F:$F=B6)*(加電履歴!$E:$E="畜種農業")*(加電履歴!$B:$B=MAXIFS(加電履歴!$B:$B,加電履歴!$F:$F,B6,加電履歴!$E:$E,"畜種農業")),0))),"")</f>
        <v/>
      </c>
    </row>
    <row r="7" ht="15.75" customHeight="1">
      <c r="A7" s="9" t="inlineStr">
        <is>
          <t>道央</t>
        </is>
      </c>
      <c r="B7" s="18" t="inlineStr">
        <is>
          <t>酪農体験むらかみ牧場</t>
        </is>
      </c>
      <c r="C7" s="12" t="inlineStr">
        <is>
          <t>https://murakami-farm.com/</t>
        </is>
      </c>
      <c r="D7" s="18" t="inlineStr">
        <is>
          <t>北海道恵庭市戸磯156番地</t>
        </is>
      </c>
      <c r="E7" s="18" t="inlineStr">
        <is>
          <t>080-6061-9966</t>
        </is>
      </c>
      <c r="F7" s="9" t="inlineStr">
        <is>
          <t>観光牧場/自家製牛乳販売</t>
        </is>
      </c>
      <c r="G7" s="9" t="inlineStr">
        <is>
          <t>観光客対応と通常の飼養管理の両立</t>
        </is>
      </c>
      <c r="H7" s="9" t="inlineStr">
        <is>
          <t>バックヤードの飼養管理を即戦力が担うことで接客観光サービス品質を向上</t>
        </is>
      </c>
      <c r="I7" s="9" t="inlineStr">
        <is>
          <t>経営陣</t>
        </is>
      </c>
      <c r="J7" s="9" t="inlineStr">
        <is>
          <t>代表</t>
        </is>
      </c>
      <c r="K7" s="9" t="inlineStr">
        <is>
          <t>村上 隆彦</t>
        </is>
      </c>
      <c r="L7" s="9" t="inlineStr">
        <is>
          <t>未確認</t>
        </is>
      </c>
      <c r="Q7" s="9" t="inlineStr">
        <is>
          <t>未開拓</t>
        </is>
      </c>
      <c r="R7" s="9" t="inlineStr">
        <is>
          <t>ターゲット</t>
        </is>
      </c>
      <c r="S7" s="9" t="inlineStr">
        <is>
          <t>リストアップ</t>
        </is>
      </c>
      <c r="AH7" s="9" t="inlineStr">
        <is>
          <t>営業推進部</t>
        </is>
      </c>
      <c r="AI7" s="9" t="inlineStr">
        <is>
          <t>武田 悦郎</t>
        </is>
      </c>
      <c r="AP7" s="9" t="inlineStr">
        <is>
          <t>未定</t>
        </is>
      </c>
      <c r="AQ7">
        <f>COUNTIFS(加電履歴!$F:$F,B7,加電履歴!$E:$E,"畜種農業")</f>
        <v/>
      </c>
      <c r="AR7" s="10">
        <f>IFERROR(IF(COUNTIFS(加電履歴!$F:$F,B7,加電履歴!$E:$E,"畜種農業")=0,"",MAXIFS(加電履歴!$B:$B,加電履歴!$F:$F,B7,加電履歴!$E:$E,"畜種農業")),"")</f>
        <v/>
      </c>
      <c r="AS7">
        <f>IFERROR(IF(COUNTIFS(加電履歴!$F:$F,B7,加電履歴!$E:$E,"畜種農業")=0,"",INDEX(加電履歴!$I:$I,MATCH(1,(加電履歴!$F:$F=B7)*(加電履歴!$E:$E="畜種農業")*(加電履歴!$B:$B=MAXIFS(加電履歴!$B:$B,加電履歴!$F:$F,B7,加電履歴!$E:$E,"畜種農業")),0))),"")</f>
        <v/>
      </c>
    </row>
    <row r="8" ht="15.75" customHeight="1">
      <c r="A8" s="9" t="inlineStr">
        <is>
          <t>道央</t>
        </is>
      </c>
      <c r="B8" s="18" t="inlineStr">
        <is>
          <t>株式会社北海道酪農公社</t>
        </is>
      </c>
      <c r="C8" s="12" t="inlineStr">
        <is>
          <t>https://www.mainichi-milk.co.jp/</t>
        </is>
      </c>
      <c r="D8" s="18" t="inlineStr">
        <is>
          <t>北海道江別市工栄町16 (〒067-0051)</t>
        </is>
      </c>
      <c r="E8" s="18" t="inlineStr">
        <is>
          <t>011-384-6930</t>
        </is>
      </c>
      <c r="F8" s="9" t="inlineStr">
        <is>
          <t>江別市拠点の乳製品製造</t>
        </is>
      </c>
      <c r="G8" s="9" t="inlineStr">
        <is>
          <t>生乳処理量の変動に応じた人員配置</t>
        </is>
      </c>
      <c r="H8" s="9" t="inlineStr">
        <is>
          <t>製造現場で即戦力となる人材を活用し採用コストを抑制しながらラインを安定化</t>
        </is>
      </c>
      <c r="I8" s="9" t="inlineStr">
        <is>
          <t>本社</t>
        </is>
      </c>
      <c r="J8" s="9" t="inlineStr">
        <is>
          <t>代表取締役社長</t>
        </is>
      </c>
      <c r="K8" s="9" t="inlineStr">
        <is>
          <t>垣原 徳彰</t>
        </is>
      </c>
      <c r="L8" s="9" t="inlineStr">
        <is>
          <t>未確認</t>
        </is>
      </c>
      <c r="Q8" s="9" t="inlineStr">
        <is>
          <t>未開拓</t>
        </is>
      </c>
      <c r="R8" s="9" t="inlineStr">
        <is>
          <t>ターゲット</t>
        </is>
      </c>
      <c r="S8" s="9" t="inlineStr">
        <is>
          <t>リストアップ</t>
        </is>
      </c>
      <c r="AH8" s="9" t="inlineStr">
        <is>
          <t>営業推進部</t>
        </is>
      </c>
      <c r="AI8" s="9" t="inlineStr">
        <is>
          <t>武田 悦郎</t>
        </is>
      </c>
      <c r="AP8" s="9" t="inlineStr">
        <is>
          <t>未定</t>
        </is>
      </c>
      <c r="AQ8">
        <f>COUNTIFS(加電履歴!$F:$F,B8,加電履歴!$E:$E,"畜種農業")</f>
        <v/>
      </c>
      <c r="AR8" s="10">
        <f>IFERROR(IF(COUNTIFS(加電履歴!$F:$F,B8,加電履歴!$E:$E,"畜種農業")=0,"",MAXIFS(加電履歴!$B:$B,加電履歴!$F:$F,B8,加電履歴!$E:$E,"畜種農業")),"")</f>
        <v/>
      </c>
      <c r="AS8">
        <f>IFERROR(IF(COUNTIFS(加電履歴!$F:$F,B8,加電履歴!$E:$E,"畜種農業")=0,"",INDEX(加電履歴!$I:$I,MATCH(1,(加電履歴!$F:$F=B8)*(加電履歴!$E:$E="畜種農業")*(加電履歴!$B:$B=MAXIFS(加電履歴!$B:$B,加電履歴!$F:$F,B8,加電履歴!$E:$E,"畜種農業")),0))),"")</f>
        <v/>
      </c>
    </row>
    <row r="9" ht="15.75" customHeight="1">
      <c r="A9" s="9" t="inlineStr">
        <is>
          <t>道央</t>
        </is>
      </c>
      <c r="B9" s="18" t="inlineStr">
        <is>
          <t>株式会社太田ファーム</t>
        </is>
      </c>
      <c r="C9" s="12" t="inlineStr">
        <is>
          <t>https://ohtafarm-tamago.com/</t>
        </is>
      </c>
      <c r="D9" s="18" t="inlineStr">
        <is>
          <t>北海道江別市角山189 (〒067-0052)</t>
        </is>
      </c>
      <c r="E9" s="18" t="inlineStr">
        <is>
          <t>011-383-8245</t>
        </is>
      </c>
      <c r="F9" s="9" t="inlineStr">
        <is>
          <t>純国産鶏もみじ等の平飼い養鶏</t>
        </is>
      </c>
      <c r="G9" s="9" t="inlineStr">
        <is>
          <t>毎日の集卵と鶏舎管理の負担軽減</t>
        </is>
      </c>
      <c r="H9" s="9" t="inlineStr">
        <is>
          <t>養鶏特有の朝夕作業に即戦力として対応可能な特定技能人材の活用提案</t>
        </is>
      </c>
      <c r="I9" s="9" t="inlineStr">
        <is>
          <t>経営陣</t>
        </is>
      </c>
      <c r="J9" s="9" t="inlineStr">
        <is>
          <t>代表取締役</t>
        </is>
      </c>
      <c r="K9" s="9" t="inlineStr">
        <is>
          <t>太田 定昭</t>
        </is>
      </c>
      <c r="L9" s="9" t="inlineStr">
        <is>
          <t>未確認</t>
        </is>
      </c>
      <c r="Q9" s="9" t="inlineStr">
        <is>
          <t>未開拓</t>
        </is>
      </c>
      <c r="R9" s="9" t="inlineStr">
        <is>
          <t>ターゲット</t>
        </is>
      </c>
      <c r="S9" s="9" t="inlineStr">
        <is>
          <t>リストアップ</t>
        </is>
      </c>
      <c r="AH9" s="9" t="inlineStr">
        <is>
          <t>営業推進部</t>
        </is>
      </c>
      <c r="AI9" s="9" t="inlineStr">
        <is>
          <t>武田 悦郎</t>
        </is>
      </c>
      <c r="AP9" s="9" t="inlineStr">
        <is>
          <t>未定</t>
        </is>
      </c>
      <c r="AQ9">
        <f>COUNTIFS(加電履歴!$F:$F,B9,加電履歴!$E:$E,"畜種農業")</f>
        <v/>
      </c>
      <c r="AR9" s="10">
        <f>IFERROR(IF(COUNTIFS(加電履歴!$F:$F,B9,加電履歴!$E:$E,"畜種農業")=0,"",MAXIFS(加電履歴!$B:$B,加電履歴!$F:$F,B9,加電履歴!$E:$E,"畜種農業")),"")</f>
        <v/>
      </c>
      <c r="AS9">
        <f>IFERROR(IF(COUNTIFS(加電履歴!$F:$F,B9,加電履歴!$E:$E,"畜種農業")=0,"",INDEX(加電履歴!$I:$I,MATCH(1,(加電履歴!$F:$F=B9)*(加電履歴!$E:$E="畜種農業")*(加電履歴!$B:$B=MAXIFS(加電履歴!$B:$B,加電履歴!$F:$F,B9,加電履歴!$E:$E,"畜種農業")),0))),"")</f>
        <v/>
      </c>
    </row>
    <row r="10" ht="15.75" customHeight="1">
      <c r="A10" s="9" t="inlineStr">
        <is>
          <t>道央</t>
        </is>
      </c>
      <c r="B10" s="18" t="inlineStr">
        <is>
          <t>株式会社ユートピアアグリカルチャー (本店:日高町豊郷916-6)</t>
        </is>
      </c>
      <c r="C10" s="12" t="inlineStr">
        <is>
          <t>https://www.utopiaagriculture.com/</t>
        </is>
      </c>
      <c r="D10" s="18" t="inlineStr">
        <is>
          <t>北海道札幌市中央区北1条西10丁目1-21 ユーネットビル2階 ※札幌事務所</t>
        </is>
      </c>
      <c r="E10" s="18" t="inlineStr">
        <is>
          <t>011-590-4195</t>
        </is>
      </c>
      <c r="F10" s="9" t="inlineStr">
        <is>
          <t>放牧酪農と平飼い養鶏</t>
        </is>
      </c>
      <c r="G10" s="9" t="inlineStr">
        <is>
          <t>放牧管理や養鶏作業の担い手不足</t>
        </is>
      </c>
      <c r="H10" s="9" t="inlineStr">
        <is>
          <t>現場で即戦力となる人材を採用コストなしで提供する提案</t>
        </is>
      </c>
      <c r="I10" s="9" t="inlineStr">
        <is>
          <t>経営陣</t>
        </is>
      </c>
      <c r="J10" s="9" t="inlineStr">
        <is>
          <t>代表取締役</t>
        </is>
      </c>
      <c r="K10" s="9" t="inlineStr">
        <is>
          <t>長沼 真太郎</t>
        </is>
      </c>
      <c r="L10" s="9" t="inlineStr">
        <is>
          <t>未確認</t>
        </is>
      </c>
      <c r="Q10" s="9" t="inlineStr">
        <is>
          <t>未開拓</t>
        </is>
      </c>
      <c r="R10" s="9" t="inlineStr">
        <is>
          <t>ターゲット</t>
        </is>
      </c>
      <c r="S10" s="9" t="inlineStr">
        <is>
          <t>リストアップ</t>
        </is>
      </c>
      <c r="AH10" s="9" t="inlineStr">
        <is>
          <t>営業推進部</t>
        </is>
      </c>
      <c r="AI10" s="9" t="inlineStr">
        <is>
          <t>武田 悦郎</t>
        </is>
      </c>
      <c r="AP10" s="9" t="inlineStr">
        <is>
          <t>未定</t>
        </is>
      </c>
      <c r="AQ10">
        <f>COUNTIFS(加電履歴!$F:$F,B10,加電履歴!$E:$E,"畜種農業")</f>
        <v/>
      </c>
      <c r="AR10" s="10">
        <f>IFERROR(IF(COUNTIFS(加電履歴!$F:$F,B10,加電履歴!$E:$E,"畜種農業")=0,"",MAXIFS(加電履歴!$B:$B,加電履歴!$F:$F,B10,加電履歴!$E:$E,"畜種農業")),"")</f>
        <v/>
      </c>
      <c r="AS10">
        <f>IFERROR(IF(COUNTIFS(加電履歴!$F:$F,B10,加電履歴!$E:$E,"畜種農業")=0,"",INDEX(加電履歴!$I:$I,MATCH(1,(加電履歴!$F:$F=B10)*(加電履歴!$E:$E="畜種農業")*(加電履歴!$B:$B=MAXIFS(加電履歴!$B:$B,加電履歴!$F:$F,B10,加電履歴!$E:$E,"畜種農業")),0))),"")</f>
        <v/>
      </c>
    </row>
    <row r="11" ht="15.75" customHeight="1">
      <c r="A11" s="9" t="inlineStr">
        <is>
          <t>道央</t>
        </is>
      </c>
      <c r="B11" s="18" t="inlineStr">
        <is>
          <t>有限会社大塚農場</t>
        </is>
      </c>
      <c r="C11" s="12" t="inlineStr">
        <is>
          <t>https://www.oh-farm.co.jp/</t>
        </is>
      </c>
      <c r="D11" s="18" t="inlineStr">
        <is>
          <t>北海道石狩郡当別町字東裏3122番地</t>
        </is>
      </c>
      <c r="E11" s="18" t="inlineStr">
        <is>
          <t>※公式サイト経由 / 0133-23-2831 ※要確認</t>
        </is>
      </c>
      <c r="F11" s="9" t="inlineStr">
        <is>
          <t>特別栽培農産物と畜産の複合経営</t>
        </is>
      </c>
      <c r="G11" s="9" t="inlineStr">
        <is>
          <t>多品目栽培と畜産管理の同時並行による多忙</t>
        </is>
      </c>
      <c r="H11" s="9" t="inlineStr">
        <is>
          <t>複合農業の多様な作業に即戦力で対応できる外国人材の導入提案</t>
        </is>
      </c>
      <c r="I11" s="9" t="inlineStr">
        <is>
          <t>管理部</t>
        </is>
      </c>
      <c r="J11" s="9" t="inlineStr">
        <is>
          <t>代表取締役</t>
        </is>
      </c>
      <c r="K11" s="9" t="inlineStr">
        <is>
          <t>大塚 慎太郎</t>
        </is>
      </c>
      <c r="L11" s="9" t="inlineStr">
        <is>
          <t>未確認</t>
        </is>
      </c>
      <c r="Q11" s="9" t="inlineStr">
        <is>
          <t>未開拓</t>
        </is>
      </c>
      <c r="R11" s="9" t="inlineStr">
        <is>
          <t>ターゲット</t>
        </is>
      </c>
      <c r="S11" s="9" t="inlineStr">
        <is>
          <t>リストアップ</t>
        </is>
      </c>
      <c r="AH11" s="9" t="inlineStr">
        <is>
          <t>営業推進部</t>
        </is>
      </c>
      <c r="AI11" s="9" t="inlineStr">
        <is>
          <t>武田 悦郎</t>
        </is>
      </c>
      <c r="AP11" s="9" t="inlineStr">
        <is>
          <t>未定</t>
        </is>
      </c>
      <c r="AQ11">
        <f>COUNTIFS(加電履歴!$F:$F,B11,加電履歴!$E:$E,"畜種農業")</f>
        <v/>
      </c>
      <c r="AR11" s="10">
        <f>IFERROR(IF(COUNTIFS(加電履歴!$F:$F,B11,加電履歴!$E:$E,"畜種農業")=0,"",MAXIFS(加電履歴!$B:$B,加電履歴!$F:$F,B11,加電履歴!$E:$E,"畜種農業")),"")</f>
        <v/>
      </c>
      <c r="AS11">
        <f>IFERROR(IF(COUNTIFS(加電履歴!$F:$F,B11,加電履歴!$E:$E,"畜種農業")=0,"",INDEX(加電履歴!$I:$I,MATCH(1,(加電履歴!$F:$F=B11)*(加電履歴!$E:$E="畜種農業")*(加電履歴!$B:$B=MAXIFS(加電履歴!$B:$B,加電履歴!$F:$F,B11,加電履歴!$E:$E,"畜種農業")),0))),"")</f>
        <v/>
      </c>
    </row>
    <row r="12" ht="15.75" customHeight="1">
      <c r="A12" s="9" t="inlineStr">
        <is>
          <t>道央</t>
        </is>
      </c>
      <c r="B12" s="18" t="inlineStr">
        <is>
          <t>有限会社山中畜産</t>
        </is>
      </c>
      <c r="C12" s="12" t="inlineStr">
        <is>
          <t>http://www.yamanaka-pork.com/</t>
        </is>
      </c>
      <c r="D12" s="18" t="inlineStr">
        <is>
          <t>北海道夕張郡長沼町西2線北1番地 (〒069-1318)</t>
        </is>
      </c>
      <c r="E12" s="18" t="inlineStr">
        <is>
          <t>0123-88-2146</t>
        </is>
      </c>
      <c r="F12" s="9" t="inlineStr">
        <is>
          <t>SPF認定豚生産</t>
        </is>
      </c>
      <c r="G12" s="9" t="inlineStr">
        <is>
          <t>母豚の大規模管理における人員確保</t>
        </is>
      </c>
      <c r="H12" s="9" t="inlineStr">
        <is>
          <t>大規模養豚のルーティンワークを即戦力として支える特定技能人材の提供</t>
        </is>
      </c>
      <c r="I12" s="9" t="inlineStr">
        <is>
          <t>本社</t>
        </is>
      </c>
      <c r="J12" s="9" t="inlineStr">
        <is>
          <t>代表取締役</t>
        </is>
      </c>
      <c r="K12" s="9" t="inlineStr">
        <is>
          <t>山中 克人</t>
        </is>
      </c>
      <c r="L12" s="9" t="inlineStr">
        <is>
          <t>未確認</t>
        </is>
      </c>
      <c r="Q12" s="9" t="inlineStr">
        <is>
          <t>未開拓</t>
        </is>
      </c>
      <c r="R12" s="9" t="inlineStr">
        <is>
          <t>ターゲット</t>
        </is>
      </c>
      <c r="S12" s="9" t="inlineStr">
        <is>
          <t>リストアップ</t>
        </is>
      </c>
      <c r="AH12" s="9" t="inlineStr">
        <is>
          <t>営業推進部</t>
        </is>
      </c>
      <c r="AI12" s="9" t="inlineStr">
        <is>
          <t>武田 悦郎</t>
        </is>
      </c>
      <c r="AP12" s="9" t="inlineStr">
        <is>
          <t>未定</t>
        </is>
      </c>
      <c r="AQ12">
        <f>COUNTIFS(加電履歴!$F:$F,B12,加電履歴!$E:$E,"畜種農業")</f>
        <v/>
      </c>
      <c r="AR12" s="10">
        <f>IFERROR(IF(COUNTIFS(加電履歴!$F:$F,B12,加電履歴!$E:$E,"畜種農業")=0,"",MAXIFS(加電履歴!$B:$B,加電履歴!$F:$F,B12,加電履歴!$E:$E,"畜種農業")),"")</f>
        <v/>
      </c>
      <c r="AS12">
        <f>IFERROR(IF(COUNTIFS(加電履歴!$F:$F,B12,加電履歴!$E:$E,"畜種農業")=0,"",INDEX(加電履歴!$I:$I,MATCH(1,(加電履歴!$F:$F=B12)*(加電履歴!$E:$E="畜種農業")*(加電履歴!$B:$B=MAXIFS(加電履歴!$B:$B,加電履歴!$F:$F,B12,加電履歴!$E:$E,"畜種農業")),0))),"")</f>
        <v/>
      </c>
    </row>
    <row r="13" ht="15.75" customHeight="1">
      <c r="A13" s="9" t="inlineStr">
        <is>
          <t>道央</t>
        </is>
      </c>
      <c r="B13" s="18" t="inlineStr">
        <is>
          <t>有限会社福屋牧場</t>
        </is>
      </c>
      <c r="C13" s="12" t="inlineStr">
        <is>
          <t>https://www.elmlane.co.jp/</t>
        </is>
      </c>
      <c r="D13" s="18" t="inlineStr">
        <is>
          <t>北海道恵庭市上山口653-4 (〒061-1404)</t>
        </is>
      </c>
      <c r="E13" s="18" t="inlineStr">
        <is>
          <t>0123-32-2157</t>
        </is>
      </c>
      <c r="F13" s="9" t="inlineStr">
        <is>
          <t>コンテスト受賞歴のある酪農/ブリーダー</t>
        </is>
      </c>
      <c r="G13" s="9" t="inlineStr">
        <is>
          <t>共進会レベルの牛群管理と日常作業の両立</t>
        </is>
      </c>
      <c r="H13" s="9" t="inlineStr">
        <is>
          <t>高い技術要求に応えるポテンシャルのある人材を即戦力として定着させる提案</t>
        </is>
      </c>
      <c r="I13" s="9" t="inlineStr">
        <is>
          <t>経営陣</t>
        </is>
      </c>
      <c r="J13" s="9" t="inlineStr">
        <is>
          <t>代表取締役</t>
        </is>
      </c>
      <c r="K13" s="9" t="inlineStr">
        <is>
          <t>福屋 栄人</t>
        </is>
      </c>
      <c r="L13" s="9" t="inlineStr">
        <is>
          <t>未確認</t>
        </is>
      </c>
      <c r="Q13" s="9" t="inlineStr">
        <is>
          <t>未開拓</t>
        </is>
      </c>
      <c r="R13" s="9" t="inlineStr">
        <is>
          <t>ターゲット</t>
        </is>
      </c>
      <c r="S13" s="9" t="inlineStr">
        <is>
          <t>リストアップ</t>
        </is>
      </c>
      <c r="AH13" s="9" t="inlineStr">
        <is>
          <t>営業推進部</t>
        </is>
      </c>
      <c r="AI13" s="9" t="inlineStr">
        <is>
          <t>武田 悦郎</t>
        </is>
      </c>
      <c r="AP13" s="9" t="inlineStr">
        <is>
          <t>未定</t>
        </is>
      </c>
      <c r="AQ13">
        <f>COUNTIFS(加電履歴!$F:$F,B13,加電履歴!$E:$E,"畜種農業")</f>
        <v/>
      </c>
      <c r="AR13" s="10">
        <f>IFERROR(IF(COUNTIFS(加電履歴!$F:$F,B13,加電履歴!$E:$E,"畜種農業")=0,"",MAXIFS(加電履歴!$B:$B,加電履歴!$F:$F,B13,加電履歴!$E:$E,"畜種農業")),"")</f>
        <v/>
      </c>
      <c r="AS13">
        <f>IFERROR(IF(COUNTIFS(加電履歴!$F:$F,B13,加電履歴!$E:$E,"畜種農業")=0,"",INDEX(加電履歴!$I:$I,MATCH(1,(加電履歴!$F:$F=B13)*(加電履歴!$E:$E="畜種農業")*(加電履歴!$B:$B=MAXIFS(加電履歴!$B:$B,加電履歴!$F:$F,B13,加電履歴!$E:$E,"畜種農業")),0))),"")</f>
        <v/>
      </c>
    </row>
    <row r="14" ht="15.75" customHeight="1">
      <c r="A14" s="9" t="inlineStr">
        <is>
          <t>道央</t>
        </is>
      </c>
      <c r="B14" s="18" t="inlineStr">
        <is>
          <t>株式会社ホクリヨウ(本社)</t>
        </is>
      </c>
      <c r="C14" s="12" t="inlineStr">
        <is>
          <t>https://www.hokuryo.co.jp/</t>
        </is>
      </c>
      <c r="D14" s="18" t="inlineStr">
        <is>
          <t>北海道札幌市白石区中央2条3丁目6番15号 (〒003-0012)</t>
        </is>
      </c>
      <c r="E14" s="18" t="inlineStr">
        <is>
          <t>011-812-1131</t>
        </is>
      </c>
      <c r="F14" s="9" t="inlineStr">
        <is>
          <t>大規模鶏卵生産・販売加工卵製造</t>
        </is>
      </c>
      <c r="G14" s="9" t="inlineStr">
        <is>
          <t>道内トップクラスの生産規模における人員配置</t>
        </is>
      </c>
      <c r="H14" s="9" t="inlineStr">
        <is>
          <t>大規模工場のルーティンを即戦力で支える特定技能人材の提案</t>
        </is>
      </c>
      <c r="I14" s="9" t="inlineStr">
        <is>
          <t>管理部</t>
        </is>
      </c>
      <c r="J14" s="9" t="inlineStr">
        <is>
          <t>代表取締役社長</t>
        </is>
      </c>
      <c r="K14" s="9" t="inlineStr">
        <is>
          <t>米山 大介</t>
        </is>
      </c>
      <c r="L14" s="9" t="inlineStr">
        <is>
          <t>未確認</t>
        </is>
      </c>
      <c r="Q14" s="9" t="inlineStr">
        <is>
          <t>未開拓</t>
        </is>
      </c>
      <c r="R14" s="9" t="inlineStr">
        <is>
          <t>ターゲット</t>
        </is>
      </c>
      <c r="S14" s="9" t="inlineStr">
        <is>
          <t>リストアップ</t>
        </is>
      </c>
      <c r="AH14" s="9" t="inlineStr">
        <is>
          <t>営業推進部</t>
        </is>
      </c>
      <c r="AI14" s="9" t="inlineStr">
        <is>
          <t>武田 悦郎</t>
        </is>
      </c>
      <c r="AP14" s="9" t="inlineStr">
        <is>
          <t>未定</t>
        </is>
      </c>
      <c r="AQ14">
        <f>COUNTIFS(加電履歴!$F:$F,B14,加電履歴!$E:$E,"畜種農業")</f>
        <v/>
      </c>
      <c r="AR14" s="10">
        <f>IFERROR(IF(COUNTIFS(加電履歴!$F:$F,B14,加電履歴!$E:$E,"畜種農業")=0,"",MAXIFS(加電履歴!$B:$B,加電履歴!$F:$F,B14,加電履歴!$E:$E,"畜種農業")),"")</f>
        <v/>
      </c>
      <c r="AS14">
        <f>IFERROR(IF(COUNTIFS(加電履歴!$F:$F,B14,加電履歴!$E:$E,"畜種農業")=0,"",INDEX(加電履歴!$I:$I,MATCH(1,(加電履歴!$F:$F=B14)*(加電履歴!$E:$E="畜種農業")*(加電履歴!$B:$B=MAXIFS(加電履歴!$B:$B,加電履歴!$F:$F,B14,加電履歴!$E:$E,"畜種農業")),0))),"")</f>
        <v/>
      </c>
    </row>
    <row r="15" ht="15.75" customHeight="1">
      <c r="A15" s="9" t="inlineStr">
        <is>
          <t>道央</t>
        </is>
      </c>
      <c r="B15" s="18" t="inlineStr">
        <is>
          <t>株式会社ホクリヨウ 千歳GP</t>
        </is>
      </c>
      <c r="C15" s="12" t="inlineStr">
        <is>
          <t>https://www.hokuryo.co.jp/</t>
        </is>
      </c>
      <c r="D15" s="18" t="inlineStr">
        <is>
          <t>北海道千歳市駒里2208 (〒066-0011)</t>
        </is>
      </c>
      <c r="E15" s="18" t="inlineStr">
        <is>
          <t>0123-40-7575</t>
        </is>
      </c>
      <c r="F15" s="9" t="inlineStr">
        <is>
          <t>大規模鶏卵集荷・パッキング</t>
        </is>
      </c>
      <c r="G15" s="9" t="inlineStr">
        <is>
          <t>集卵およびパッキング工程の省力化</t>
        </is>
      </c>
      <c r="H15" s="9" t="inlineStr">
        <is>
          <t>採用コスト不要でパッキングラインの安定稼働を実現</t>
        </is>
      </c>
      <c r="I15" s="9" t="inlineStr">
        <is>
          <t>工場長室</t>
        </is>
      </c>
      <c r="J15" s="9" t="inlineStr">
        <is>
          <t>工場長</t>
        </is>
      </c>
      <c r="K15" s="9" t="inlineStr">
        <is>
          <t>不明</t>
        </is>
      </c>
      <c r="L15" s="9" t="inlineStr">
        <is>
          <t>未確認</t>
        </is>
      </c>
      <c r="Q15" s="9" t="inlineStr">
        <is>
          <t>未開拓</t>
        </is>
      </c>
      <c r="R15" s="9" t="inlineStr">
        <is>
          <t>ターゲット</t>
        </is>
      </c>
      <c r="S15" s="9" t="inlineStr">
        <is>
          <t>リストアップ</t>
        </is>
      </c>
      <c r="AH15" s="9" t="inlineStr">
        <is>
          <t>営業推進部</t>
        </is>
      </c>
      <c r="AI15" s="9" t="inlineStr">
        <is>
          <t>武田 悦郎</t>
        </is>
      </c>
      <c r="AP15" s="9" t="inlineStr">
        <is>
          <t>未定</t>
        </is>
      </c>
      <c r="AQ15">
        <f>COUNTIFS(加電履歴!$F:$F,B15,加電履歴!$E:$E,"畜種農業")</f>
        <v/>
      </c>
      <c r="AR15" s="10">
        <f>IFERROR(IF(COUNTIFS(加電履歴!$F:$F,B15,加電履歴!$E:$E,"畜種農業")=0,"",MAXIFS(加電履歴!$B:$B,加電履歴!$F:$F,B15,加電履歴!$E:$E,"畜種農業")),"")</f>
        <v/>
      </c>
      <c r="AS15">
        <f>IFERROR(IF(COUNTIFS(加電履歴!$F:$F,B15,加電履歴!$E:$E,"畜種農業")=0,"",INDEX(加電履歴!$I:$I,MATCH(1,(加電履歴!$F:$F=B15)*(加電履歴!$E:$E="畜種農業")*(加電履歴!$B:$B=MAXIFS(加電履歴!$B:$B,加電履歴!$F:$F,B15,加電履歴!$E:$E,"畜種農業")),0))),"")</f>
        <v/>
      </c>
    </row>
    <row r="16" ht="15.75" customHeight="1">
      <c r="A16" s="9" t="inlineStr">
        <is>
          <t>道央</t>
        </is>
      </c>
      <c r="B16" s="18" t="inlineStr">
        <is>
          <t>ホクレンくみあいファーム株式会社 恵庭農場</t>
        </is>
      </c>
      <c r="C16" s="12" t="inlineStr">
        <is>
          <t>http://kumiai-farm.co.jp/</t>
        </is>
      </c>
      <c r="D16" s="18" t="inlineStr">
        <is>
          <t>北海道恵庭市北島27-1</t>
        </is>
      </c>
      <c r="E16" s="18" t="inlineStr">
        <is>
          <t>0123-37-2231</t>
        </is>
      </c>
      <c r="F16" s="9" t="inlineStr">
        <is>
          <t>養鶏事業・鶏卵生産</t>
        </is>
      </c>
      <c r="G16" s="9" t="inlineStr">
        <is>
          <t>大規模農場における安定的な人員確保</t>
        </is>
      </c>
      <c r="H16" s="9" t="inlineStr">
        <is>
          <t>即戦力配置による生産体制の強化</t>
        </is>
      </c>
      <c r="I16" s="9" t="inlineStr">
        <is>
          <t>管理部</t>
        </is>
      </c>
      <c r="J16" s="9" t="inlineStr">
        <is>
          <t>農場長</t>
        </is>
      </c>
      <c r="K16" s="9" t="inlineStr">
        <is>
          <t>不明</t>
        </is>
      </c>
      <c r="L16" s="9" t="inlineStr">
        <is>
          <t>未確認</t>
        </is>
      </c>
      <c r="Q16" s="9" t="inlineStr">
        <is>
          <t>未開拓</t>
        </is>
      </c>
      <c r="R16" s="9" t="inlineStr">
        <is>
          <t>ターゲット</t>
        </is>
      </c>
      <c r="S16" s="9" t="inlineStr">
        <is>
          <t>リストアップ</t>
        </is>
      </c>
      <c r="AH16" s="9" t="inlineStr">
        <is>
          <t>営業推進部</t>
        </is>
      </c>
      <c r="AI16" s="9" t="inlineStr">
        <is>
          <t>武田 悦郎</t>
        </is>
      </c>
      <c r="AP16" s="9" t="inlineStr">
        <is>
          <t>未定</t>
        </is>
      </c>
      <c r="AQ16">
        <f>COUNTIFS(加電履歴!$F:$F,B16,加電履歴!$E:$E,"畜種農業")</f>
        <v/>
      </c>
      <c r="AR16" s="10">
        <f>IFERROR(IF(COUNTIFS(加電履歴!$F:$F,B16,加電履歴!$E:$E,"畜種農業")=0,"",MAXIFS(加電履歴!$B:$B,加電履歴!$F:$F,B16,加電履歴!$E:$E,"畜種農業")),"")</f>
        <v/>
      </c>
      <c r="AS16">
        <f>IFERROR(IF(COUNTIFS(加電履歴!$F:$F,B16,加電履歴!$E:$E,"畜種農業")=0,"",INDEX(加電履歴!$I:$I,MATCH(1,(加電履歴!$F:$F=B16)*(加電履歴!$E:$E="畜種農業")*(加電履歴!$B:$B=MAXIFS(加電履歴!$B:$B,加電履歴!$F:$F,B16,加電履歴!$E:$E,"畜種農業")),0))),"")</f>
        <v/>
      </c>
    </row>
    <row r="17" ht="15.75" customHeight="1">
      <c r="A17" s="9" t="inlineStr">
        <is>
          <t>道央</t>
        </is>
      </c>
      <c r="B17" s="18" t="inlineStr">
        <is>
          <t>有限会社小林牧場</t>
        </is>
      </c>
      <c r="C17" s="12" t="inlineStr">
        <is>
          <t>https://kobayashibokujo.com/</t>
        </is>
      </c>
      <c r="D17" s="18" t="inlineStr">
        <is>
          <t>北海道江別市西野幌668番地</t>
        </is>
      </c>
      <c r="E17" s="18" t="inlineStr">
        <is>
          <t>011-375-1115</t>
        </is>
      </c>
      <c r="F17" s="9" t="inlineStr">
        <is>
          <t>フリーストール牛舎/小林牧場物語ブランド</t>
        </is>
      </c>
      <c r="G17" s="9" t="inlineStr">
        <is>
          <t>ブランド維持のための衛生管理と乳質管理</t>
        </is>
      </c>
      <c r="H17" s="9" t="inlineStr">
        <is>
          <t>清潔な牛舎環境を維持するルーティン作業に即戦力を充てる提案</t>
        </is>
      </c>
      <c r="I17" s="9" t="inlineStr">
        <is>
          <t>経営陣</t>
        </is>
      </c>
      <c r="J17" s="9" t="inlineStr">
        <is>
          <t>代表取締役</t>
        </is>
      </c>
      <c r="K17" s="9" t="inlineStr">
        <is>
          <t>小林 紀彦</t>
        </is>
      </c>
      <c r="L17" s="9" t="inlineStr">
        <is>
          <t>未確認</t>
        </is>
      </c>
      <c r="Q17" s="9" t="inlineStr">
        <is>
          <t>未開拓</t>
        </is>
      </c>
      <c r="R17" s="9" t="inlineStr">
        <is>
          <t>ターゲット</t>
        </is>
      </c>
      <c r="S17" s="9" t="inlineStr">
        <is>
          <t>リストアップ</t>
        </is>
      </c>
      <c r="AH17" s="9" t="inlineStr">
        <is>
          <t>営業推進部</t>
        </is>
      </c>
      <c r="AI17" s="9" t="inlineStr">
        <is>
          <t>武田 悦郎</t>
        </is>
      </c>
      <c r="AP17" s="9" t="inlineStr">
        <is>
          <t>未定</t>
        </is>
      </c>
      <c r="AQ17">
        <f>COUNTIFS(加電履歴!$F:$F,B17,加電履歴!$E:$E,"畜種農業")</f>
        <v/>
      </c>
      <c r="AR17" s="10">
        <f>IFERROR(IF(COUNTIFS(加電履歴!$F:$F,B17,加電履歴!$E:$E,"畜種農業")=0,"",MAXIFS(加電履歴!$B:$B,加電履歴!$F:$F,B17,加電履歴!$E:$E,"畜種農業")),"")</f>
        <v/>
      </c>
      <c r="AS17">
        <f>IFERROR(IF(COUNTIFS(加電履歴!$F:$F,B17,加電履歴!$E:$E,"畜種農業")=0,"",INDEX(加電履歴!$I:$I,MATCH(1,(加電履歴!$F:$F=B17)*(加電履歴!$E:$E="畜種農業")*(加電履歴!$B:$B=MAXIFS(加電履歴!$B:$B,加電履歴!$F:$F,B17,加電履歴!$E:$E,"畜種農業")),0))),"")</f>
        <v/>
      </c>
    </row>
    <row r="18" ht="15.75" customHeight="1">
      <c r="A18" s="9" t="inlineStr">
        <is>
          <t>道央</t>
        </is>
      </c>
      <c r="B18" s="18" t="inlineStr">
        <is>
          <t>有限会社池端牧場</t>
        </is>
      </c>
      <c r="C18" s="12" t="inlineStr">
        <is>
          <t>https://ikebata-farm.com/</t>
        </is>
      </c>
      <c r="D18" s="18" t="inlineStr">
        <is>
          <t>北海道石狩市樽川97-11 (〒061-3251)</t>
        </is>
      </c>
      <c r="E18" s="18" t="inlineStr">
        <is>
          <t>0133-73-8538</t>
        </is>
      </c>
      <c r="F18" s="9" t="inlineStr">
        <is>
          <t>土壌分析を活用した酪農/堆肥販売</t>
        </is>
      </c>
      <c r="G18" s="9" t="inlineStr">
        <is>
          <t>活性誘導水を用いた環境保全型酪農の維持</t>
        </is>
      </c>
      <c r="H18" s="9" t="inlineStr">
        <is>
          <t>環境に配慮した細やかな飼養管理を即戦力として担える人材の提案</t>
        </is>
      </c>
      <c r="I18" s="9" t="inlineStr">
        <is>
          <t>経営陣</t>
        </is>
      </c>
      <c r="J18" s="9" t="inlineStr">
        <is>
          <t>代表取締役</t>
        </is>
      </c>
      <c r="K18" s="9" t="inlineStr">
        <is>
          <t>池端 規明</t>
        </is>
      </c>
      <c r="L18" s="9" t="inlineStr">
        <is>
          <t>未確認</t>
        </is>
      </c>
      <c r="Q18" s="9" t="inlineStr">
        <is>
          <t>未開拓</t>
        </is>
      </c>
      <c r="R18" s="9" t="inlineStr">
        <is>
          <t>ターゲット</t>
        </is>
      </c>
      <c r="S18" s="9" t="inlineStr">
        <is>
          <t>リストアップ</t>
        </is>
      </c>
      <c r="AH18" s="9" t="inlineStr">
        <is>
          <t>営業推進部</t>
        </is>
      </c>
      <c r="AI18" s="9" t="inlineStr">
        <is>
          <t>武田 悦郎</t>
        </is>
      </c>
      <c r="AP18" s="9" t="inlineStr">
        <is>
          <t>未定</t>
        </is>
      </c>
      <c r="AQ18">
        <f>COUNTIFS(加電履歴!$F:$F,B18,加電履歴!$E:$E,"畜種農業")</f>
        <v/>
      </c>
      <c r="AR18" s="10">
        <f>IFERROR(IF(COUNTIFS(加電履歴!$F:$F,B18,加電履歴!$E:$E,"畜種農業")=0,"",MAXIFS(加電履歴!$B:$B,加電履歴!$F:$F,B18,加電履歴!$E:$E,"畜種農業")),"")</f>
        <v/>
      </c>
      <c r="AS18">
        <f>IFERROR(IF(COUNTIFS(加電履歴!$F:$F,B18,加電履歴!$E:$E,"畜種農業")=0,"",INDEX(加電履歴!$I:$I,MATCH(1,(加電履歴!$F:$F=B18)*(加電履歴!$E:$E="畜種農業")*(加電履歴!$B:$B=MAXIFS(加電履歴!$B:$B,加電履歴!$F:$F,B18,加電履歴!$E:$E,"畜種農業")),0))),"")</f>
        <v/>
      </c>
    </row>
    <row r="19" ht="15.75" customHeight="1">
      <c r="A19" s="9" t="inlineStr">
        <is>
          <t>道央</t>
        </is>
      </c>
      <c r="B19" s="18" t="inlineStr">
        <is>
          <t>一般社団法人Agricola (ファームアグリコラ)</t>
        </is>
      </c>
      <c r="C19" s="12" t="inlineStr">
        <is>
          <t>https://www.agricola.jp/</t>
        </is>
      </c>
      <c r="D19" s="18" t="inlineStr">
        <is>
          <t>北海道石狩郡当別町字金沢1779-17</t>
        </is>
      </c>
      <c r="E19" s="18" t="inlineStr">
        <is>
          <t>0133-27-5551</t>
        </is>
      </c>
      <c r="F19" s="9" t="inlineStr">
        <is>
          <t>平飼い卵「あこがれ」生産</t>
        </is>
      </c>
      <c r="G19" s="9" t="inlineStr">
        <is>
          <t>丁寧な飼育管理と販売業務の兼務</t>
        </is>
      </c>
      <c r="H19" s="9" t="inlineStr">
        <is>
          <t>飼育管理専任の即戦力を配置し経営陣が販売拡販に注力できる環境構築</t>
        </is>
      </c>
      <c r="I19" s="9" t="inlineStr">
        <is>
          <t>代表室</t>
        </is>
      </c>
      <c r="J19" s="9" t="inlineStr">
        <is>
          <t>代表</t>
        </is>
      </c>
      <c r="K19" s="9" t="inlineStr">
        <is>
          <t>水野 智大</t>
        </is>
      </c>
      <c r="L19" s="9" t="inlineStr">
        <is>
          <t>未確認</t>
        </is>
      </c>
      <c r="Q19" s="9" t="inlineStr">
        <is>
          <t>未開拓</t>
        </is>
      </c>
      <c r="R19" s="9" t="inlineStr">
        <is>
          <t>ターゲット</t>
        </is>
      </c>
      <c r="S19" s="9" t="inlineStr">
        <is>
          <t>リストアップ</t>
        </is>
      </c>
      <c r="AH19" s="9" t="inlineStr">
        <is>
          <t>営業推進部</t>
        </is>
      </c>
      <c r="AI19" s="9" t="inlineStr">
        <is>
          <t>武田 悦郎</t>
        </is>
      </c>
      <c r="AP19" s="9" t="inlineStr">
        <is>
          <t>未定</t>
        </is>
      </c>
      <c r="AQ19">
        <f>COUNTIFS(加電履歴!$F:$F,B19,加電履歴!$E:$E,"畜種農業")</f>
        <v/>
      </c>
      <c r="AR19" s="10">
        <f>IFERROR(IF(COUNTIFS(加電履歴!$F:$F,B19,加電履歴!$E:$E,"畜種農業")=0,"",MAXIFS(加電履歴!$B:$B,加電履歴!$F:$F,B19,加電履歴!$E:$E,"畜種農業")),"")</f>
        <v/>
      </c>
      <c r="AS19">
        <f>IFERROR(IF(COUNTIFS(加電履歴!$F:$F,B19,加電履歴!$E:$E,"畜種農業")=0,"",INDEX(加電履歴!$I:$I,MATCH(1,(加電履歴!$F:$F=B19)*(加電履歴!$E:$E="畜種農業")*(加電履歴!$B:$B=MAXIFS(加電履歴!$B:$B,加電履歴!$F:$F,B19,加電履歴!$E:$E,"畜種農業")),0))),"")</f>
        <v/>
      </c>
    </row>
    <row r="20" ht="15.75" customHeight="1">
      <c r="A20" s="9" t="inlineStr">
        <is>
          <t>道央</t>
        </is>
      </c>
      <c r="B20" s="18" t="inlineStr">
        <is>
          <t>株式会社北海道中央牧場</t>
        </is>
      </c>
      <c r="C20" s="12" t="inlineStr">
        <is>
          <t>https://hokkaido-chuobokujo.com/</t>
        </is>
      </c>
      <c r="D20" s="18" t="inlineStr">
        <is>
          <t>北海道北広島市北進町1丁目2-2 北広島ターミナルビル4階</t>
        </is>
      </c>
      <c r="E20" s="18" t="inlineStr">
        <is>
          <t>011-372-0073</t>
        </is>
      </c>
      <c r="F20" s="9" t="inlineStr">
        <is>
          <t>道央圏での牧場経営</t>
        </is>
      </c>
      <c r="G20" s="9" t="inlineStr">
        <is>
          <t>従業員不足への迅速な対応</t>
        </is>
      </c>
      <c r="H20" s="9" t="inlineStr">
        <is>
          <t>採用コストをかけずに即戦力を確保する提案</t>
        </is>
      </c>
      <c r="I20" s="9" t="inlineStr">
        <is>
          <t>経営陣</t>
        </is>
      </c>
      <c r="J20" s="9" t="inlineStr">
        <is>
          <t>代表</t>
        </is>
      </c>
      <c r="K20" s="9" t="inlineStr">
        <is>
          <t>出田 純治</t>
        </is>
      </c>
      <c r="L20" s="9" t="inlineStr">
        <is>
          <t>未確認</t>
        </is>
      </c>
      <c r="Q20" s="9" t="inlineStr">
        <is>
          <t>未開拓</t>
        </is>
      </c>
      <c r="R20" s="9" t="inlineStr">
        <is>
          <t>ターゲット</t>
        </is>
      </c>
      <c r="S20" s="9" t="inlineStr">
        <is>
          <t>リストアップ</t>
        </is>
      </c>
      <c r="AH20" s="9" t="inlineStr">
        <is>
          <t>営業推進部</t>
        </is>
      </c>
      <c r="AI20" s="9" t="inlineStr">
        <is>
          <t>武田 悦郎</t>
        </is>
      </c>
      <c r="AP20" s="9" t="inlineStr">
        <is>
          <t>未定</t>
        </is>
      </c>
      <c r="AQ20">
        <f>COUNTIFS(加電履歴!$F:$F,B20,加電履歴!$E:$E,"畜種農業")</f>
        <v/>
      </c>
      <c r="AR20" s="10">
        <f>IFERROR(IF(COUNTIFS(加電履歴!$F:$F,B20,加電履歴!$E:$E,"畜種農業")=0,"",MAXIFS(加電履歴!$B:$B,加電履歴!$F:$F,B20,加電履歴!$E:$E,"畜種農業")),"")</f>
        <v/>
      </c>
      <c r="AS20">
        <f>IFERROR(IF(COUNTIFS(加電履歴!$F:$F,B20,加電履歴!$E:$E,"畜種農業")=0,"",INDEX(加電履歴!$I:$I,MATCH(1,(加電履歴!$F:$F=B20)*(加電履歴!$E:$E="畜種農業")*(加電履歴!$B:$B=MAXIFS(加電履歴!$B:$B,加電履歴!$F:$F,B20,加電履歴!$E:$E,"畜種農業")),0))),"")</f>
        <v/>
      </c>
    </row>
    <row r="21" ht="15.75" customHeight="1">
      <c r="A21" s="9" t="inlineStr">
        <is>
          <t>道央</t>
        </is>
      </c>
      <c r="B21" s="18" t="inlineStr">
        <is>
          <t>有限会社長沼ファーム</t>
        </is>
      </c>
      <c r="C21" s="12" t="inlineStr">
        <is>
          <t>https://www.naganumafarm.jp/</t>
        </is>
      </c>
      <c r="D21" s="18" t="inlineStr">
        <is>
          <t>北海道夕張郡長沼町東7線北5 (〒069-1317)</t>
        </is>
      </c>
      <c r="E21" s="18" t="inlineStr">
        <is>
          <t>0123-88-3698</t>
        </is>
      </c>
      <c r="F21" s="9" t="inlineStr">
        <is>
          <t>ブランド和牛「馬追和牛」生産</t>
        </is>
      </c>
      <c r="G21" s="9" t="inlineStr">
        <is>
          <t>高品質な肉牛のきめ細やかな肥育管理</t>
        </is>
      </c>
      <c r="H21" s="9" t="inlineStr">
        <is>
          <t>肥育ルーティンを即戦力で支援しブランド維持に貢献</t>
        </is>
      </c>
      <c r="I21" s="9" t="inlineStr">
        <is>
          <t>本社</t>
        </is>
      </c>
      <c r="J21" s="9" t="inlineStr">
        <is>
          <t>代表取締役</t>
        </is>
      </c>
      <c r="K21" s="9" t="inlineStr">
        <is>
          <t>不明</t>
        </is>
      </c>
      <c r="L21" s="9" t="inlineStr">
        <is>
          <t>未確認</t>
        </is>
      </c>
      <c r="Q21" s="9" t="inlineStr">
        <is>
          <t>未開拓</t>
        </is>
      </c>
      <c r="R21" s="9" t="inlineStr">
        <is>
          <t>ターゲット</t>
        </is>
      </c>
      <c r="S21" s="9" t="inlineStr">
        <is>
          <t>リストアップ</t>
        </is>
      </c>
      <c r="AH21" s="9" t="inlineStr">
        <is>
          <t>営業推進部</t>
        </is>
      </c>
      <c r="AI21" s="9" t="inlineStr">
        <is>
          <t>武田 悦郎</t>
        </is>
      </c>
      <c r="AP21" s="9" t="inlineStr">
        <is>
          <t>未定</t>
        </is>
      </c>
      <c r="AQ21">
        <f>COUNTIFS(加電履歴!$F:$F,B21,加電履歴!$E:$E,"畜種農業")</f>
        <v/>
      </c>
      <c r="AR21" s="10">
        <f>IFERROR(IF(COUNTIFS(加電履歴!$F:$F,B21,加電履歴!$E:$E,"畜種農業")=0,"",MAXIFS(加電履歴!$B:$B,加電履歴!$F:$F,B21,加電履歴!$E:$E,"畜種農業")),"")</f>
        <v/>
      </c>
      <c r="AS21">
        <f>IFERROR(IF(COUNTIFS(加電履歴!$F:$F,B21,加電履歴!$E:$E,"畜種農業")=0,"",INDEX(加電履歴!$I:$I,MATCH(1,(加電履歴!$F:$F=B21)*(加電履歴!$E:$E="畜種農業")*(加電履歴!$B:$B=MAXIFS(加電履歴!$B:$B,加電履歴!$F:$F,B21,加電履歴!$E:$E,"畜種農業")),0))),"")</f>
        <v/>
      </c>
    </row>
    <row r="22" ht="15.75" customHeight="1">
      <c r="A22" s="9" t="inlineStr">
        <is>
          <t>道央</t>
        </is>
      </c>
      <c r="B22" s="18" t="inlineStr">
        <is>
          <t>株式会社肉の山本 (千歳ラム工房)</t>
        </is>
      </c>
      <c r="C22" s="12" t="inlineStr">
        <is>
          <t>https://www.29yamamoto.jp/</t>
        </is>
      </c>
      <c r="D22" s="18" t="inlineStr">
        <is>
          <t>北海道千歳市流通3丁目2-2 (〒066-0019)</t>
        </is>
      </c>
      <c r="E22" s="18" t="inlineStr">
        <is>
          <t>0123-23-7617</t>
        </is>
      </c>
      <c r="F22" s="9" t="inlineStr">
        <is>
          <t>食肉加工・畜産関連</t>
        </is>
      </c>
      <c r="G22" s="9" t="inlineStr">
        <is>
          <t>加工・処理工程での安定的な労働力確保</t>
        </is>
      </c>
      <c r="H22" s="9" t="inlineStr">
        <is>
          <t>食肉加工現場で即戦力となる特定技能人材の配置</t>
        </is>
      </c>
      <c r="I22" s="9" t="inlineStr">
        <is>
          <t>総務部</t>
        </is>
      </c>
      <c r="J22" s="9" t="inlineStr">
        <is>
          <t>代表取締役</t>
        </is>
      </c>
      <c r="K22" s="9" t="inlineStr">
        <is>
          <t>山本 氏</t>
        </is>
      </c>
      <c r="L22" s="9" t="inlineStr">
        <is>
          <t>未確認</t>
        </is>
      </c>
      <c r="Q22" s="9" t="inlineStr">
        <is>
          <t>未開拓</t>
        </is>
      </c>
      <c r="R22" s="9" t="inlineStr">
        <is>
          <t>ターゲット</t>
        </is>
      </c>
      <c r="S22" s="9" t="inlineStr">
        <is>
          <t>リストアップ</t>
        </is>
      </c>
      <c r="AH22" s="9" t="inlineStr">
        <is>
          <t>営業推進部</t>
        </is>
      </c>
      <c r="AI22" s="9" t="inlineStr">
        <is>
          <t>武田 悦郎</t>
        </is>
      </c>
      <c r="AP22" s="9" t="inlineStr">
        <is>
          <t>未定</t>
        </is>
      </c>
      <c r="AQ22">
        <f>COUNTIFS(加電履歴!$F:$F,B22,加電履歴!$E:$E,"畜種農業")</f>
        <v/>
      </c>
      <c r="AR22" s="10">
        <f>IFERROR(IF(COUNTIFS(加電履歴!$F:$F,B22,加電履歴!$E:$E,"畜種農業")=0,"",MAXIFS(加電履歴!$B:$B,加電履歴!$F:$F,B22,加電履歴!$E:$E,"畜種農業")),"")</f>
        <v/>
      </c>
      <c r="AS22">
        <f>IFERROR(IF(COUNTIFS(加電履歴!$F:$F,B22,加電履歴!$E:$E,"畜種農業")=0,"",INDEX(加電履歴!$I:$I,MATCH(1,(加電履歴!$F:$F=B22)*(加電履歴!$E:$E="畜種農業")*(加電履歴!$B:$B=MAXIFS(加電履歴!$B:$B,加電履歴!$F:$F,B22,加電履歴!$E:$E,"畜種農業")),0))),"")</f>
        <v/>
      </c>
    </row>
    <row r="23" ht="15.75" customHeight="1">
      <c r="A23" s="9" t="inlineStr">
        <is>
          <t>道央</t>
        </is>
      </c>
      <c r="B23" s="18" t="inlineStr">
        <is>
          <t>ファームエイジ株式会社</t>
        </is>
      </c>
      <c r="C23" s="12" t="inlineStr">
        <is>
          <t>https://farmage.co.jp/</t>
        </is>
      </c>
      <c r="D23" s="18" t="inlineStr">
        <is>
          <t>北海道石狩郡当別町字金沢166-8</t>
        </is>
      </c>
      <c r="E23" s="18" t="inlineStr">
        <is>
          <t>0133-22-3060</t>
        </is>
      </c>
      <c r="F23" s="9" t="inlineStr">
        <is>
          <t>放牧酪農支援・電気柵システム</t>
        </is>
      </c>
      <c r="G23" s="9" t="inlineStr">
        <is>
          <t>放牧環境下での管理作業支援</t>
        </is>
      </c>
      <c r="H23" s="9" t="inlineStr">
        <is>
          <t>放牧地管理に対応できる柔軟な人材の提供</t>
        </is>
      </c>
      <c r="I23" s="9" t="inlineStr">
        <is>
          <t>経営陣</t>
        </is>
      </c>
      <c r="J23" s="9" t="inlineStr">
        <is>
          <t>代表取締役</t>
        </is>
      </c>
      <c r="K23" s="9" t="inlineStr">
        <is>
          <t>小谷 栄二</t>
        </is>
      </c>
      <c r="L23" s="9" t="inlineStr">
        <is>
          <t>未確認</t>
        </is>
      </c>
      <c r="Q23" s="9" t="inlineStr">
        <is>
          <t>未開拓</t>
        </is>
      </c>
      <c r="R23" s="9" t="inlineStr">
        <is>
          <t>ターゲット</t>
        </is>
      </c>
      <c r="S23" s="9" t="inlineStr">
        <is>
          <t>リストアップ</t>
        </is>
      </c>
      <c r="AH23" s="9" t="inlineStr">
        <is>
          <t>営業推進部</t>
        </is>
      </c>
      <c r="AI23" s="9" t="inlineStr">
        <is>
          <t>武田 悦郎</t>
        </is>
      </c>
      <c r="AP23" s="9" t="inlineStr">
        <is>
          <t>未定</t>
        </is>
      </c>
      <c r="AQ23">
        <f>COUNTIFS(加電履歴!$F:$F,B23,加電履歴!$E:$E,"畜種農業")</f>
        <v/>
      </c>
      <c r="AR23" s="10">
        <f>IFERROR(IF(COUNTIFS(加電履歴!$F:$F,B23,加電履歴!$E:$E,"畜種農業")=0,"",MAXIFS(加電履歴!$B:$B,加電履歴!$F:$F,B23,加電履歴!$E:$E,"畜種農業")),"")</f>
        <v/>
      </c>
      <c r="AS23">
        <f>IFERROR(IF(COUNTIFS(加電履歴!$F:$F,B23,加電履歴!$E:$E,"畜種農業")=0,"",INDEX(加電履歴!$I:$I,MATCH(1,(加電履歴!$F:$F=B23)*(加電履歴!$E:$E="畜種農業")*(加電履歴!$B:$B=MAXIFS(加電履歴!$B:$B,加電履歴!$F:$F,B23,加電履歴!$E:$E,"畜種農業")),0))),"")</f>
        <v/>
      </c>
    </row>
    <row r="24">
      <c r="A24" s="9" t="inlineStr">
        <is>
          <t>道央</t>
        </is>
      </c>
      <c r="B24" s="18" t="inlineStr">
        <is>
          <t>株式会社ぼくはん</t>
        </is>
      </c>
      <c r="C24" s="12" t="inlineStr">
        <is>
          <t>https://bokuhan.co.jp/</t>
        </is>
      </c>
      <c r="D24" s="18" t="inlineStr">
        <is>
          <t>北海道北広島市西の里東3丁目9-13 (〒061-1105)</t>
        </is>
      </c>
      <c r="E24" s="18" t="inlineStr">
        <is>
          <t>011-802-5801</t>
        </is>
      </c>
      <c r="F24" s="9" t="inlineStr">
        <is>
          <t>牧場運営関連</t>
        </is>
      </c>
      <c r="G24" s="9" t="inlineStr">
        <is>
          <t>飼養管理スタッフの通年確保</t>
        </is>
      </c>
      <c r="H24" s="9" t="inlineStr">
        <is>
          <t>特定技能の通年雇用による安定化</t>
        </is>
      </c>
      <c r="I24" s="9" t="inlineStr">
        <is>
          <t>管理部</t>
        </is>
      </c>
      <c r="J24" s="9" t="inlineStr">
        <is>
          <t>代表取締役</t>
        </is>
      </c>
      <c r="K24" s="9" t="inlineStr">
        <is>
          <t>不明</t>
        </is>
      </c>
      <c r="L24" s="9" t="inlineStr">
        <is>
          <t>未確認</t>
        </is>
      </c>
      <c r="Q24" s="9" t="inlineStr">
        <is>
          <t>未開拓</t>
        </is>
      </c>
      <c r="R24" s="9" t="inlineStr">
        <is>
          <t>ターゲット</t>
        </is>
      </c>
      <c r="S24" s="9" t="inlineStr">
        <is>
          <t>リストアップ</t>
        </is>
      </c>
      <c r="AH24" s="9" t="inlineStr">
        <is>
          <t>営業推進部</t>
        </is>
      </c>
      <c r="AI24" s="9" t="inlineStr">
        <is>
          <t>武田 悦郎</t>
        </is>
      </c>
      <c r="AP24" s="9" t="inlineStr">
        <is>
          <t>未定</t>
        </is>
      </c>
      <c r="AQ24">
        <f>COUNTIFS(加電履歴!$F:$F,B24,加電履歴!$E:$E,"畜種農業")</f>
        <v/>
      </c>
      <c r="AR24" s="10">
        <f>IFERROR(IF(COUNTIFS(加電履歴!$F:$F,B24,加電履歴!$E:$E,"畜種農業")=0,"",MAXIFS(加電履歴!$B:$B,加電履歴!$F:$F,B24,加電履歴!$E:$E,"畜種農業")),"")</f>
        <v/>
      </c>
      <c r="AS24">
        <f>IFERROR(IF(COUNTIFS(加電履歴!$F:$F,B24,加電履歴!$E:$E,"畜種農業")=0,"",INDEX(加電履歴!$I:$I,MATCH(1,(加電履歴!$F:$F=B24)*(加電履歴!$E:$E="畜種農業")*(加電履歴!$B:$B=MAXIFS(加電履歴!$B:$B,加電履歴!$F:$F,B24,加電履歴!$E:$E,"畜種農業")),0))),"")</f>
        <v/>
      </c>
    </row>
    <row r="25">
      <c r="A25" s="9" t="inlineStr">
        <is>
          <t>道央</t>
        </is>
      </c>
      <c r="B25" s="18" t="inlineStr">
        <is>
          <t>北海道ホルスタイン農業協同組合</t>
        </is>
      </c>
      <c r="C25" s="12" t="inlineStr">
        <is>
          <t>https://www.holstein.or.jp/</t>
        </is>
      </c>
      <c r="D25" s="18" t="inlineStr">
        <is>
          <t>北海道札幌市北区北15条西5丁目1-5</t>
        </is>
      </c>
      <c r="E25" s="18" t="inlineStr">
        <is>
          <t>011-726-3111</t>
        </is>
      </c>
      <c r="F25" s="9" t="inlineStr">
        <is>
          <t>全道の酪農組合支援</t>
        </is>
      </c>
      <c r="G25" s="9" t="inlineStr">
        <is>
          <t>組合員農家への労働力不足対策支援</t>
        </is>
      </c>
      <c r="H25" s="9" t="inlineStr">
        <is>
          <t>全道の組合員農家へ展開可能な採用コスト削減モデルの提案</t>
        </is>
      </c>
      <c r="I25" s="9" t="inlineStr">
        <is>
          <t>管理部</t>
        </is>
      </c>
      <c r="J25" s="9" t="inlineStr">
        <is>
          <t>代表理事組合長</t>
        </is>
      </c>
      <c r="K25" s="9" t="inlineStr">
        <is>
          <t>山口 哲朗</t>
        </is>
      </c>
      <c r="L25" s="9" t="inlineStr">
        <is>
          <t>未確認</t>
        </is>
      </c>
      <c r="Q25" s="9" t="inlineStr">
        <is>
          <t>未開拓</t>
        </is>
      </c>
      <c r="R25" s="9" t="inlineStr">
        <is>
          <t>ターゲット</t>
        </is>
      </c>
      <c r="S25" s="9" t="inlineStr">
        <is>
          <t>リストアップ</t>
        </is>
      </c>
      <c r="AH25" s="9" t="inlineStr">
        <is>
          <t>営業推進部</t>
        </is>
      </c>
      <c r="AI25" s="9" t="inlineStr">
        <is>
          <t>武田 悦郎</t>
        </is>
      </c>
      <c r="AP25" s="9" t="inlineStr">
        <is>
          <t>未定</t>
        </is>
      </c>
      <c r="AQ25">
        <f>COUNTIFS(加電履歴!$F:$F,B25,加電履歴!$E:$E,"畜種農業")</f>
        <v/>
      </c>
      <c r="AR25" s="10">
        <f>IFERROR(IF(COUNTIFS(加電履歴!$F:$F,B25,加電履歴!$E:$E,"畜種農業")=0,"",MAXIFS(加電履歴!$B:$B,加電履歴!$F:$F,B25,加電履歴!$E:$E,"畜種農業")),"")</f>
        <v/>
      </c>
      <c r="AS25">
        <f>IFERROR(IF(COUNTIFS(加電履歴!$F:$F,B25,加電履歴!$E:$E,"畜種農業")=0,"",INDEX(加電履歴!$I:$I,MATCH(1,(加電履歴!$F:$F=B25)*(加電履歴!$E:$E="畜種農業")*(加電履歴!$B:$B=MAXIFS(加電履歴!$B:$B,加電履歴!$F:$F,B25,加電履歴!$E:$E,"畜種農業")),0))),"")</f>
        <v/>
      </c>
    </row>
    <row r="26">
      <c r="A26" s="9" t="inlineStr">
        <is>
          <t>道央</t>
        </is>
      </c>
      <c r="B26" s="18" t="inlineStr">
        <is>
          <t>アースドリーム角山農場 (トンデンファーム)</t>
        </is>
      </c>
      <c r="C26" s="12" t="inlineStr">
        <is>
          <t>https://www.tondenfarm.co.jp/</t>
        </is>
      </c>
      <c r="D26" s="18" t="inlineStr">
        <is>
          <t>北海道江別市元野幌584番地1</t>
        </is>
      </c>
      <c r="E26" s="18" t="inlineStr">
        <is>
          <t>011-391-2500</t>
        </is>
      </c>
      <c r="F26" s="9" t="inlineStr">
        <is>
          <t>観光体験牧場/アルパカやミニ豚飼育</t>
        </is>
      </c>
      <c r="G26" s="9" t="inlineStr">
        <is>
          <t>観光客対応と多種多様な動物の飼育負担</t>
        </is>
      </c>
      <c r="H26" s="9" t="inlineStr">
        <is>
          <t>観光エリア外でのバックヤード飼育管理を即戦力に任せる体制構築</t>
        </is>
      </c>
      <c r="I26" s="9" t="inlineStr">
        <is>
          <t>農場管理部</t>
        </is>
      </c>
      <c r="J26" s="9" t="inlineStr">
        <is>
          <t>代表</t>
        </is>
      </c>
      <c r="K26" s="9" t="inlineStr">
        <is>
          <t>不明</t>
        </is>
      </c>
      <c r="L26" s="9" t="inlineStr">
        <is>
          <t>未確認</t>
        </is>
      </c>
      <c r="Q26" s="9" t="inlineStr">
        <is>
          <t>未開拓</t>
        </is>
      </c>
      <c r="R26" s="9" t="inlineStr">
        <is>
          <t>ターゲット</t>
        </is>
      </c>
      <c r="S26" s="9" t="inlineStr">
        <is>
          <t>リストアップ</t>
        </is>
      </c>
      <c r="AH26" s="9" t="inlineStr">
        <is>
          <t>営業推進部</t>
        </is>
      </c>
      <c r="AI26" s="9" t="inlineStr">
        <is>
          <t>武田 悦郎</t>
        </is>
      </c>
      <c r="AP26" s="9" t="inlineStr">
        <is>
          <t>未定</t>
        </is>
      </c>
      <c r="AQ26">
        <f>COUNTIFS(加電履歴!$F:$F,B26,加電履歴!$E:$E,"畜種農業")</f>
        <v/>
      </c>
      <c r="AR26" s="10">
        <f>IFERROR(IF(COUNTIFS(加電履歴!$F:$F,B26,加電履歴!$E:$E,"畜種農業")=0,"",MAXIFS(加電履歴!$B:$B,加電履歴!$F:$F,B26,加電履歴!$E:$E,"畜種農業")),"")</f>
        <v/>
      </c>
      <c r="AS26">
        <f>IFERROR(IF(COUNTIFS(加電履歴!$F:$F,B26,加電履歴!$E:$E,"畜種農業")=0,"",INDEX(加電履歴!$I:$I,MATCH(1,(加電履歴!$F:$F=B26)*(加電履歴!$E:$E="畜種農業")*(加電履歴!$B:$B=MAXIFS(加電履歴!$B:$B,加電履歴!$F:$F,B26,加電履歴!$E:$E,"畜種農業")),0))),"")</f>
        <v/>
      </c>
    </row>
    <row r="27">
      <c r="A27" s="9" t="inlineStr">
        <is>
          <t>道央</t>
        </is>
      </c>
      <c r="B27" s="18" t="inlineStr">
        <is>
          <t>千歳市営牧場 (公益財団法人道央農業振興公社)</t>
        </is>
      </c>
      <c r="C27" s="14" t="inlineStr"/>
      <c r="D27" s="18" t="inlineStr">
        <is>
          <t>北海道千歳市駒里1032番地の1 (駒里地区, 220ha)</t>
        </is>
      </c>
      <c r="E27" s="18" t="inlineStr">
        <is>
          <t>0123-23-4170</t>
        </is>
      </c>
      <c r="F27" s="9" t="inlineStr">
        <is>
          <t>公共牧野/育成牛の通年預託</t>
        </is>
      </c>
      <c r="G27" s="9" t="inlineStr">
        <is>
          <t>広大な牧草地と育成牛管理の省力化</t>
        </is>
      </c>
      <c r="H27" s="9" t="inlineStr">
        <is>
          <t>公共施設の安定稼働を即戦力の特定技能人材で支援する提案</t>
        </is>
      </c>
      <c r="I27" s="9" t="inlineStr">
        <is>
          <t>管理部</t>
        </is>
      </c>
      <c r="J27" s="9" t="inlineStr">
        <is>
          <t>管理者</t>
        </is>
      </c>
      <c r="K27" s="9" t="inlineStr">
        <is>
          <t>不明</t>
        </is>
      </c>
      <c r="L27" s="9" t="inlineStr">
        <is>
          <t>未確認</t>
        </is>
      </c>
      <c r="Q27" s="9" t="inlineStr">
        <is>
          <t>未開拓</t>
        </is>
      </c>
      <c r="R27" s="9" t="inlineStr">
        <is>
          <t>ターゲット</t>
        </is>
      </c>
      <c r="S27" s="9" t="inlineStr">
        <is>
          <t>リストアップ</t>
        </is>
      </c>
      <c r="AH27" s="9" t="inlineStr">
        <is>
          <t>営業推進部</t>
        </is>
      </c>
      <c r="AI27" s="9" t="inlineStr">
        <is>
          <t>武田 悦郎</t>
        </is>
      </c>
      <c r="AP27" s="9" t="inlineStr">
        <is>
          <t>未定</t>
        </is>
      </c>
      <c r="AQ27">
        <f>COUNTIFS(加電履歴!$F:$F,B27,加電履歴!$E:$E,"畜種農業")</f>
        <v/>
      </c>
      <c r="AR27" s="10">
        <f>IFERROR(IF(COUNTIFS(加電履歴!$F:$F,B27,加電履歴!$E:$E,"畜種農業")=0,"",MAXIFS(加電履歴!$B:$B,加電履歴!$F:$F,B27,加電履歴!$E:$E,"畜種農業")),"")</f>
        <v/>
      </c>
      <c r="AS27">
        <f>IFERROR(IF(COUNTIFS(加電履歴!$F:$F,B27,加電履歴!$E:$E,"畜種農業")=0,"",INDEX(加電履歴!$I:$I,MATCH(1,(加電履歴!$F:$F=B27)*(加電履歴!$E:$E="畜種農業")*(加電履歴!$B:$B=MAXIFS(加電履歴!$B:$B,加電履歴!$F:$F,B27,加電履歴!$E:$E,"畜種農業")),0))),"")</f>
        <v/>
      </c>
    </row>
    <row r="28">
      <c r="A28" s="9" t="inlineStr">
        <is>
          <t>道央</t>
        </is>
      </c>
      <c r="B28" s="18" t="inlineStr">
        <is>
          <t>石狩ひつじ牧場</t>
        </is>
      </c>
      <c r="C28" s="14" t="inlineStr"/>
      <c r="D28" s="18" t="inlineStr">
        <is>
          <t>北海道石狩市樽川485-1 (〒061-3251)</t>
        </is>
      </c>
      <c r="E28" s="18" t="inlineStr">
        <is>
          <t>080-4505-1935 (スタッフ) / 070-6601-1116 (代表)</t>
        </is>
      </c>
      <c r="F28" s="9" t="inlineStr">
        <is>
          <t>観光牧場/羊乳チーズ製造</t>
        </is>
      </c>
      <c r="G28" s="9" t="inlineStr">
        <is>
          <t>羊の飼育と観光・チーズ製造の兼務負担</t>
        </is>
      </c>
      <c r="H28" s="9" t="inlineStr">
        <is>
          <t>飼育管理を即戦力が担うことで代表が加工・接客に専念できる体制構築</t>
        </is>
      </c>
      <c r="I28" s="9" t="inlineStr">
        <is>
          <t>経営陣</t>
        </is>
      </c>
      <c r="J28" s="9" t="inlineStr">
        <is>
          <t>代表</t>
        </is>
      </c>
      <c r="K28" s="9" t="inlineStr">
        <is>
          <t>不明</t>
        </is>
      </c>
      <c r="L28" s="9" t="inlineStr">
        <is>
          <t>未確認</t>
        </is>
      </c>
      <c r="Q28" s="9" t="inlineStr">
        <is>
          <t>未開拓</t>
        </is>
      </c>
      <c r="R28" s="9" t="inlineStr">
        <is>
          <t>ターゲット</t>
        </is>
      </c>
      <c r="S28" s="9" t="inlineStr">
        <is>
          <t>リストアップ</t>
        </is>
      </c>
      <c r="AH28" s="9" t="inlineStr">
        <is>
          <t>営業推進部</t>
        </is>
      </c>
      <c r="AI28" s="9" t="inlineStr">
        <is>
          <t>武田 悦郎</t>
        </is>
      </c>
      <c r="AP28" s="9" t="inlineStr">
        <is>
          <t>未定</t>
        </is>
      </c>
      <c r="AQ28">
        <f>COUNTIFS(加電履歴!$F:$F,B28,加電履歴!$E:$E,"畜種農業")</f>
        <v/>
      </c>
      <c r="AR28" s="10">
        <f>IFERROR(IF(COUNTIFS(加電履歴!$F:$F,B28,加電履歴!$E:$E,"畜種農業")=0,"",MAXIFS(加電履歴!$B:$B,加電履歴!$F:$F,B28,加電履歴!$E:$E,"畜種農業")),"")</f>
        <v/>
      </c>
      <c r="AS28">
        <f>IFERROR(IF(COUNTIFS(加電履歴!$F:$F,B28,加電履歴!$E:$E,"畜種農業")=0,"",INDEX(加電履歴!$I:$I,MATCH(1,(加電履歴!$F:$F=B28)*(加電履歴!$E:$E="畜種農業")*(加電履歴!$B:$B=MAXIFS(加電履歴!$B:$B,加電履歴!$F:$F,B28,加電履歴!$E:$E,"畜種農業")),0))),"")</f>
        <v/>
      </c>
    </row>
    <row r="29">
      <c r="A29" s="9" t="inlineStr">
        <is>
          <t>道央</t>
        </is>
      </c>
      <c r="B29" s="18" t="inlineStr">
        <is>
          <t>有限会社大塚ファーム</t>
        </is>
      </c>
      <c r="C29" s="12" t="inlineStr">
        <is>
          <t>https://otsukafarm.com/</t>
        </is>
      </c>
      <c r="D29" s="18" t="inlineStr">
        <is>
          <t>北海道石狩郡新篠津村第36線南42番地</t>
        </is>
      </c>
      <c r="E29" s="18" t="inlineStr">
        <is>
          <t>0126-57-2573</t>
        </is>
      </c>
      <c r="F29" s="9" t="inlineStr">
        <is>
          <t>有機農業および関連事業</t>
        </is>
      </c>
      <c r="G29" s="9" t="inlineStr">
        <is>
          <t>農福連携と複合的な作業の効率化</t>
        </is>
      </c>
      <c r="H29" s="9" t="inlineStr">
        <is>
          <t>多様な作業に即戦力で対応する人材の提供</t>
        </is>
      </c>
      <c r="I29" s="9" t="inlineStr">
        <is>
          <t>経営陣</t>
        </is>
      </c>
      <c r="J29" s="9" t="inlineStr">
        <is>
          <t>代表</t>
        </is>
      </c>
      <c r="K29" s="9" t="inlineStr">
        <is>
          <t>大塚 氏</t>
        </is>
      </c>
      <c r="L29" s="9" t="inlineStr">
        <is>
          <t>未確認</t>
        </is>
      </c>
      <c r="Q29" s="9" t="inlineStr">
        <is>
          <t>未開拓</t>
        </is>
      </c>
      <c r="R29" s="9" t="inlineStr">
        <is>
          <t>ターゲット</t>
        </is>
      </c>
      <c r="S29" s="9" t="inlineStr">
        <is>
          <t>リストアップ</t>
        </is>
      </c>
      <c r="AH29" s="9" t="inlineStr">
        <is>
          <t>営業推進部</t>
        </is>
      </c>
      <c r="AI29" s="9" t="inlineStr">
        <is>
          <t>武田 悦郎</t>
        </is>
      </c>
      <c r="AP29" s="9" t="inlineStr">
        <is>
          <t>未定</t>
        </is>
      </c>
      <c r="AQ29">
        <f>COUNTIFS(加電履歴!$F:$F,B29,加電履歴!$E:$E,"畜種農業")</f>
        <v/>
      </c>
      <c r="AR29" s="10">
        <f>IFERROR(IF(COUNTIFS(加電履歴!$F:$F,B29,加電履歴!$E:$E,"畜種農業")=0,"",MAXIFS(加電履歴!$B:$B,加電履歴!$F:$F,B29,加電履歴!$E:$E,"畜種農業")),"")</f>
        <v/>
      </c>
      <c r="AS29">
        <f>IFERROR(IF(COUNTIFS(加電履歴!$F:$F,B29,加電履歴!$E:$E,"畜種農業")=0,"",INDEX(加電履歴!$I:$I,MATCH(1,(加電履歴!$F:$F=B29)*(加電履歴!$E:$E="畜種農業")*(加電履歴!$B:$B=MAXIFS(加電履歴!$B:$B,加電履歴!$F:$F,B29,加電履歴!$E:$E,"畜種農業")),0))),"")</f>
        <v/>
      </c>
    </row>
    <row r="30">
      <c r="A30" s="9" t="inlineStr">
        <is>
          <t>道央</t>
        </is>
      </c>
      <c r="B30" s="18" t="inlineStr">
        <is>
          <t>株式会社JAKE (ジェイクジャパン)</t>
        </is>
      </c>
      <c r="C30" s="12" t="inlineStr">
        <is>
          <t>https://jake-i.com/</t>
        </is>
      </c>
      <c r="D30" s="18" t="inlineStr">
        <is>
          <t>北海道岩見沢市下志文町24-11</t>
        </is>
      </c>
      <c r="E30" s="18" t="inlineStr">
        <is>
          <t>0126-26-3340 ※公式サイト確認</t>
        </is>
      </c>
      <c r="F30" s="9" t="inlineStr">
        <is>
          <t>養鶏・有機穀物生産</t>
        </is>
      </c>
      <c r="G30" s="9" t="inlineStr">
        <is>
          <t>複合経営の労働力分散</t>
        </is>
      </c>
      <c r="H30" s="9" t="inlineStr">
        <is>
          <t>養鶏部門への即戦力配置による生産性向上</t>
        </is>
      </c>
      <c r="I30" s="9" t="inlineStr">
        <is>
          <t>本社</t>
        </is>
      </c>
      <c r="J30" s="9" t="inlineStr">
        <is>
          <t>代表</t>
        </is>
      </c>
      <c r="K30" s="9" t="inlineStr">
        <is>
          <t>不明</t>
        </is>
      </c>
      <c r="L30" s="9" t="inlineStr">
        <is>
          <t>未確認</t>
        </is>
      </c>
      <c r="Q30" s="9" t="inlineStr">
        <is>
          <t>未開拓</t>
        </is>
      </c>
      <c r="R30" s="9" t="inlineStr">
        <is>
          <t>ターゲット</t>
        </is>
      </c>
      <c r="S30" s="9" t="inlineStr">
        <is>
          <t>リストアップ</t>
        </is>
      </c>
      <c r="AH30" s="9" t="inlineStr">
        <is>
          <t>営業推進部</t>
        </is>
      </c>
      <c r="AI30" s="9" t="inlineStr">
        <is>
          <t>武田 悦郎</t>
        </is>
      </c>
      <c r="AP30" s="9" t="inlineStr">
        <is>
          <t>未定</t>
        </is>
      </c>
      <c r="AQ30">
        <f>COUNTIFS(加電履歴!$F:$F,B30,加電履歴!$E:$E,"畜種農業")</f>
        <v/>
      </c>
      <c r="AR30" s="10">
        <f>IFERROR(IF(COUNTIFS(加電履歴!$F:$F,B30,加電履歴!$E:$E,"畜種農業")=0,"",MAXIFS(加電履歴!$B:$B,加電履歴!$F:$F,B30,加電履歴!$E:$E,"畜種農業")),"")</f>
        <v/>
      </c>
      <c r="AS30">
        <f>IFERROR(IF(COUNTIFS(加電履歴!$F:$F,B30,加電履歴!$E:$E,"畜種農業")=0,"",INDEX(加電履歴!$I:$I,MATCH(1,(加電履歴!$F:$F=B30)*(加電履歴!$E:$E="畜種農業")*(加電履歴!$B:$B=MAXIFS(加電履歴!$B:$B,加電履歴!$F:$F,B30,加電履歴!$E:$E,"畜種農業")),0))),"")</f>
        <v/>
      </c>
    </row>
    <row r="31">
      <c r="A31" s="9" t="inlineStr">
        <is>
          <t>道央</t>
        </is>
      </c>
      <c r="B31" s="9" t="inlineStr">
        <is>
          <t>橋田牧場</t>
        </is>
      </c>
      <c r="D31" s="9" t="inlineStr">
        <is>
          <t>北海道恵庭市(えにあす関連)</t>
        </is>
      </c>
      <c r="E31" s="9" t="inlineStr">
        <is>
          <t>0123-25-5727(参考)</t>
        </is>
      </c>
      <c r="F31" s="9" t="inlineStr">
        <is>
          <t>恵庭市における酪農経営</t>
        </is>
      </c>
      <c r="G31" s="9" t="inlineStr">
        <is>
          <t>安定的な搾乳作業の担い手確保</t>
        </is>
      </c>
      <c r="H31" s="9" t="inlineStr">
        <is>
          <t>採用コストゼロで即戦力を配置し安定した搾乳オペレーションを実現</t>
        </is>
      </c>
      <c r="I31" s="9" t="inlineStr">
        <is>
          <t>経営陣</t>
        </is>
      </c>
      <c r="J31" s="9" t="inlineStr">
        <is>
          <t>代表(指導農業士)</t>
        </is>
      </c>
      <c r="K31" s="9" t="inlineStr">
        <is>
          <t>橋田 武</t>
        </is>
      </c>
      <c r="L31" s="9" t="inlineStr">
        <is>
          <t>未確認</t>
        </is>
      </c>
      <c r="Q31" s="9" t="inlineStr">
        <is>
          <t>未開拓</t>
        </is>
      </c>
      <c r="R31" s="9" t="inlineStr">
        <is>
          <t>ターゲット</t>
        </is>
      </c>
      <c r="S31" s="9" t="inlineStr">
        <is>
          <t>リストアップ</t>
        </is>
      </c>
      <c r="AH31" s="9" t="inlineStr">
        <is>
          <t>営業推進部</t>
        </is>
      </c>
      <c r="AI31" s="9" t="inlineStr">
        <is>
          <t>武田 悦郎</t>
        </is>
      </c>
      <c r="AP31" s="9" t="inlineStr">
        <is>
          <t>未定</t>
        </is>
      </c>
      <c r="AQ31">
        <f>COUNTIFS(加電履歴!$F:$F,B31,加電履歴!$E:$E,"畜種農業")</f>
        <v/>
      </c>
      <c r="AR31" s="10">
        <f>IFERROR(IF(COUNTIFS(加電履歴!$F:$F,B31,加電履歴!$E:$E,"畜種農業")=0,"",MAXIFS(加電履歴!$B:$B,加電履歴!$F:$F,B31,加電履歴!$E:$E,"畜種農業")),"")</f>
        <v/>
      </c>
      <c r="AS31">
        <f>IFERROR(IF(COUNTIFS(加電履歴!$F:$F,B31,加電履歴!$E:$E,"畜種農業")=0,"",INDEX(加電履歴!$I:$I,MATCH(1,(加電履歴!$F:$F=B31)*(加電履歴!$E:$E="畜種農業")*(加電履歴!$B:$B=MAXIFS(加電履歴!$B:$B,加電履歴!$F:$F,B31,加電履歴!$E:$E,"畜種農業")),0))),"")</f>
        <v/>
      </c>
    </row>
    <row r="32">
      <c r="A32" s="9" t="inlineStr">
        <is>
          <t>道央</t>
        </is>
      </c>
      <c r="B32" s="9" t="inlineStr">
        <is>
          <t>石橋牧場</t>
        </is>
      </c>
      <c r="D32" s="9" t="inlineStr">
        <is>
          <t>北海道北広島市</t>
        </is>
      </c>
      <c r="E32" s="9" t="inlineStr">
        <is>
          <t>不明</t>
        </is>
      </c>
      <c r="F32" s="9" t="inlineStr">
        <is>
          <t>北広島市における酪農経営</t>
        </is>
      </c>
      <c r="G32" s="9" t="inlineStr">
        <is>
          <t>都市近郊での継続的な酪農スタッフ確保</t>
        </is>
      </c>
      <c r="H32" s="9" t="inlineStr">
        <is>
          <t>都市近郊型の酪農環境に適応できる即戦力人材の提供</t>
        </is>
      </c>
      <c r="I32" s="9" t="inlineStr">
        <is>
          <t>経営陣</t>
        </is>
      </c>
      <c r="J32" s="9" t="inlineStr">
        <is>
          <t>代表(指導農業士)</t>
        </is>
      </c>
      <c r="K32" s="9" t="inlineStr">
        <is>
          <t>石橋 茂信</t>
        </is>
      </c>
      <c r="L32" s="9" t="inlineStr">
        <is>
          <t>未確認</t>
        </is>
      </c>
      <c r="Q32" s="9" t="inlineStr">
        <is>
          <t>未開拓</t>
        </is>
      </c>
      <c r="R32" s="9" t="inlineStr">
        <is>
          <t>ターゲット</t>
        </is>
      </c>
      <c r="S32" s="9" t="inlineStr">
        <is>
          <t>リストアップ</t>
        </is>
      </c>
      <c r="AH32" s="9" t="inlineStr">
        <is>
          <t>営業推進部</t>
        </is>
      </c>
      <c r="AI32" s="9" t="inlineStr">
        <is>
          <t>武田 悦郎</t>
        </is>
      </c>
      <c r="AP32" s="9" t="inlineStr">
        <is>
          <t>未定</t>
        </is>
      </c>
      <c r="AQ32">
        <f>COUNTIFS(加電履歴!$F:$F,B32,加電履歴!$E:$E,"畜種農業")</f>
        <v/>
      </c>
      <c r="AR32" s="10">
        <f>IFERROR(IF(COUNTIFS(加電履歴!$F:$F,B32,加電履歴!$E:$E,"畜種農業")=0,"",MAXIFS(加電履歴!$B:$B,加電履歴!$F:$F,B32,加電履歴!$E:$E,"畜種農業")),"")</f>
        <v/>
      </c>
      <c r="AS32">
        <f>IFERROR(IF(COUNTIFS(加電履歴!$F:$F,B32,加電履歴!$E:$E,"畜種農業")=0,"",INDEX(加電履歴!$I:$I,MATCH(1,(加電履歴!$F:$F=B32)*(加電履歴!$E:$E="畜種農業")*(加電履歴!$B:$B=MAXIFS(加電履歴!$B:$B,加電履歴!$F:$F,B32,加電履歴!$E:$E,"畜種農業")),0))),"")</f>
        <v/>
      </c>
    </row>
    <row r="33">
      <c r="A33" s="9" t="inlineStr">
        <is>
          <t>道央</t>
        </is>
      </c>
      <c r="B33" s="9" t="inlineStr">
        <is>
          <t>藤本農場</t>
        </is>
      </c>
      <c r="D33" s="9" t="inlineStr">
        <is>
          <t>北海道千歳市</t>
        </is>
      </c>
      <c r="E33" s="9" t="inlineStr">
        <is>
          <t>不明</t>
        </is>
      </c>
      <c r="F33" s="9" t="inlineStr">
        <is>
          <t>酪農と畑作の複合経営</t>
        </is>
      </c>
      <c r="G33" s="9" t="inlineStr">
        <is>
          <t>複合経営における季節ごとの労働ピークへの対応</t>
        </is>
      </c>
      <c r="H33" s="9" t="inlineStr">
        <is>
          <t>酪農と畑作のハイブリッド作業に即戦力として対応する人材提案</t>
        </is>
      </c>
      <c r="I33" s="9" t="inlineStr">
        <is>
          <t>経営陣</t>
        </is>
      </c>
      <c r="J33" s="9" t="inlineStr">
        <is>
          <t>代表(指導農業士)</t>
        </is>
      </c>
      <c r="K33" s="9" t="inlineStr">
        <is>
          <t>藤本 謹也</t>
        </is>
      </c>
      <c r="L33" s="9" t="inlineStr">
        <is>
          <t>未確認</t>
        </is>
      </c>
      <c r="Q33" s="9" t="inlineStr">
        <is>
          <t>未開拓</t>
        </is>
      </c>
      <c r="R33" s="9" t="inlineStr">
        <is>
          <t>ターゲット</t>
        </is>
      </c>
      <c r="S33" s="9" t="inlineStr">
        <is>
          <t>リストアップ</t>
        </is>
      </c>
      <c r="AH33" s="9" t="inlineStr">
        <is>
          <t>営業推進部</t>
        </is>
      </c>
      <c r="AI33" s="9" t="inlineStr">
        <is>
          <t>武田 悦郎</t>
        </is>
      </c>
      <c r="AP33" s="9" t="inlineStr">
        <is>
          <t>未定</t>
        </is>
      </c>
      <c r="AQ33">
        <f>COUNTIFS(加電履歴!$F:$F,B33,加電履歴!$E:$E,"畜種農業")</f>
        <v/>
      </c>
      <c r="AR33" s="10">
        <f>IFERROR(IF(COUNTIFS(加電履歴!$F:$F,B33,加電履歴!$E:$E,"畜種農業")=0,"",MAXIFS(加電履歴!$B:$B,加電履歴!$F:$F,B33,加電履歴!$E:$E,"畜種農業")),"")</f>
        <v/>
      </c>
      <c r="AS33">
        <f>IFERROR(IF(COUNTIFS(加電履歴!$F:$F,B33,加電履歴!$E:$E,"畜種農業")=0,"",INDEX(加電履歴!$I:$I,MATCH(1,(加電履歴!$F:$F=B33)*(加電履歴!$E:$E="畜種農業")*(加電履歴!$B:$B=MAXIFS(加電履歴!$B:$B,加電履歴!$F:$F,B33,加電履歴!$E:$E,"畜種農業")),0))),"")</f>
        <v/>
      </c>
    </row>
    <row r="34">
      <c r="A34" s="9" t="inlineStr">
        <is>
          <t>道央</t>
        </is>
      </c>
      <c r="B34" s="9" t="inlineStr">
        <is>
          <t>寺山農場</t>
        </is>
      </c>
      <c r="D34" s="9" t="inlineStr">
        <is>
          <t>北海道石狩市</t>
        </is>
      </c>
      <c r="E34" s="9" t="inlineStr">
        <is>
          <t>不明</t>
        </is>
      </c>
      <c r="F34" s="9" t="inlineStr">
        <is>
          <t>肉用牛・稲作・畑作の複合経営</t>
        </is>
      </c>
      <c r="G34" s="9" t="inlineStr">
        <is>
          <t>肉用牛の飼養管理と農繁期の両立</t>
        </is>
      </c>
      <c r="H34" s="9" t="inlineStr">
        <is>
          <t>肉牛管理の基本作業を即戦力に任せ代表が経営に専念できる体制構築</t>
        </is>
      </c>
      <c r="I34" s="9" t="inlineStr">
        <is>
          <t>経営陣</t>
        </is>
      </c>
      <c r="J34" s="9" t="inlineStr">
        <is>
          <t>代表(指導農業士)</t>
        </is>
      </c>
      <c r="K34" s="9" t="inlineStr">
        <is>
          <t>寺山 広司</t>
        </is>
      </c>
      <c r="L34" s="9" t="inlineStr">
        <is>
          <t>未確認</t>
        </is>
      </c>
      <c r="Q34" s="9" t="inlineStr">
        <is>
          <t>未開拓</t>
        </is>
      </c>
      <c r="R34" s="9" t="inlineStr">
        <is>
          <t>ターゲット</t>
        </is>
      </c>
      <c r="S34" s="9" t="inlineStr">
        <is>
          <t>リストアップ</t>
        </is>
      </c>
      <c r="AH34" s="9" t="inlineStr">
        <is>
          <t>営業推進部</t>
        </is>
      </c>
      <c r="AI34" s="9" t="inlineStr">
        <is>
          <t>武田 悦郎</t>
        </is>
      </c>
      <c r="AP34" s="9" t="inlineStr">
        <is>
          <t>未定</t>
        </is>
      </c>
      <c r="AQ34">
        <f>COUNTIFS(加電履歴!$F:$F,B34,加電履歴!$E:$E,"畜種農業")</f>
        <v/>
      </c>
      <c r="AR34" s="10">
        <f>IFERROR(IF(COUNTIFS(加電履歴!$F:$F,B34,加電履歴!$E:$E,"畜種農業")=0,"",MAXIFS(加電履歴!$B:$B,加電履歴!$F:$F,B34,加電履歴!$E:$E,"畜種農業")),"")</f>
        <v/>
      </c>
      <c r="AS34">
        <f>IFERROR(IF(COUNTIFS(加電履歴!$F:$F,B34,加電履歴!$E:$E,"畜種農業")=0,"",INDEX(加電履歴!$I:$I,MATCH(1,(加電履歴!$F:$F=B34)*(加電履歴!$E:$E="畜種農業")*(加電履歴!$B:$B=MAXIFS(加電履歴!$B:$B,加電履歴!$F:$F,B34,加電履歴!$E:$E,"畜種農業")),0))),"")</f>
        <v/>
      </c>
    </row>
    <row r="35">
      <c r="A35" s="9" t="inlineStr">
        <is>
          <t>道南</t>
        </is>
      </c>
      <c r="B35" s="18" t="inlineStr">
        <is>
          <t>日本クリーンファーム株式会社 道南事業所</t>
        </is>
      </c>
      <c r="C35" s="12" t="inlineStr">
        <is>
          <t>https://www.nipponcleanfarm.co.jp/</t>
        </is>
      </c>
      <c r="D35" s="18" t="inlineStr">
        <is>
          <t>北海道二海郡八雲町字立岩54-1</t>
        </is>
      </c>
      <c r="E35" s="18" t="inlineStr">
        <is>
          <t>※要確認 (本社経由)</t>
        </is>
      </c>
      <c r="F35" s="9" t="inlineStr">
        <is>
          <t>大規模養豚/道南トップクラスの生産量</t>
        </is>
      </c>
      <c r="G35" s="9" t="inlineStr">
        <is>
          <t>大規模施設の清掃と衛生管理の負担増</t>
        </is>
      </c>
      <c r="H35" s="9" t="inlineStr">
        <is>
          <t>余計な採用コストなしで現場の即戦力となる特定技能人材を配置し安定稼働を支援</t>
        </is>
      </c>
      <c r="I35" s="9" t="inlineStr">
        <is>
          <t>管理部</t>
        </is>
      </c>
      <c r="J35" s="9" t="inlineStr">
        <is>
          <t>代表</t>
        </is>
      </c>
      <c r="K35" s="9" t="inlineStr">
        <is>
          <t>不明</t>
        </is>
      </c>
      <c r="L35" s="9" t="inlineStr">
        <is>
          <t>未確認</t>
        </is>
      </c>
      <c r="Q35" s="9" t="inlineStr">
        <is>
          <t>未開拓</t>
        </is>
      </c>
      <c r="R35" s="9" t="inlineStr">
        <is>
          <t>ターゲット</t>
        </is>
      </c>
      <c r="S35" s="9" t="inlineStr">
        <is>
          <t>リストアップ</t>
        </is>
      </c>
      <c r="AH35" s="9" t="inlineStr">
        <is>
          <t>営業推進部</t>
        </is>
      </c>
      <c r="AI35" s="9" t="inlineStr">
        <is>
          <t>武田 悦郎</t>
        </is>
      </c>
      <c r="AP35" s="9" t="inlineStr">
        <is>
          <t>未定</t>
        </is>
      </c>
      <c r="AQ35">
        <f>COUNTIFS(加電履歴!$F:$F,B35,加電履歴!$E:$E,"畜種農業")</f>
        <v/>
      </c>
      <c r="AR35" s="10">
        <f>IFERROR(IF(COUNTIFS(加電履歴!$F:$F,B35,加電履歴!$E:$E,"畜種農業")=0,"",MAXIFS(加電履歴!$B:$B,加電履歴!$F:$F,B35,加電履歴!$E:$E,"畜種農業")),"")</f>
        <v/>
      </c>
      <c r="AS35">
        <f>IFERROR(IF(COUNTIFS(加電履歴!$F:$F,B35,加電履歴!$E:$E,"畜種農業")=0,"",INDEX(加電履歴!$I:$I,MATCH(1,(加電履歴!$F:$F=B35)*(加電履歴!$E:$E="畜種農業")*(加電履歴!$B:$B=MAXIFS(加電履歴!$B:$B,加電履歴!$F:$F,B35,加電履歴!$E:$E,"畜種農業")),0))),"")</f>
        <v/>
      </c>
    </row>
    <row r="36">
      <c r="A36" s="9" t="inlineStr">
        <is>
          <t>道南</t>
        </is>
      </c>
      <c r="B36" s="18" t="inlineStr">
        <is>
          <t>株式会社山邊畜産</t>
        </is>
      </c>
      <c r="C36" s="12" t="inlineStr">
        <is>
          <t>https://www.hokkaido-pork.jp/farm/oshima-hiyama/farm_yamabe/</t>
        </is>
      </c>
      <c r="D36" s="18" t="inlineStr">
        <is>
          <t>北海道函館市 ※詳細要確認</t>
        </is>
      </c>
      <c r="E36" s="18" t="inlineStr">
        <is>
          <t>0138-58-3715</t>
        </is>
      </c>
      <c r="F36" s="9" t="inlineStr">
        <is>
          <t>養豚/渡島エリアの安定供給</t>
        </is>
      </c>
      <c r="G36" s="9" t="inlineStr">
        <is>
          <t>日々の豚舎管理と従業員の高齢化</t>
        </is>
      </c>
      <c r="H36" s="9" t="inlineStr">
        <is>
          <t>即戦力を投入しベテラン社員の負担を軽減する体制づくり</t>
        </is>
      </c>
      <c r="I36" s="9" t="inlineStr">
        <is>
          <t>経営陣</t>
        </is>
      </c>
      <c r="J36" s="9" t="inlineStr">
        <is>
          <t>代表取締役</t>
        </is>
      </c>
      <c r="K36" s="9" t="inlineStr">
        <is>
          <t>山邊 氏</t>
        </is>
      </c>
      <c r="L36" s="9" t="inlineStr">
        <is>
          <t>未確認</t>
        </is>
      </c>
      <c r="Q36" s="9" t="inlineStr">
        <is>
          <t>未開拓</t>
        </is>
      </c>
      <c r="R36" s="9" t="inlineStr">
        <is>
          <t>ターゲット</t>
        </is>
      </c>
      <c r="S36" s="9" t="inlineStr">
        <is>
          <t>リストアップ</t>
        </is>
      </c>
      <c r="AH36" s="9" t="inlineStr">
        <is>
          <t>営業推進部</t>
        </is>
      </c>
      <c r="AI36" s="9" t="inlineStr">
        <is>
          <t>武田 悦郎</t>
        </is>
      </c>
      <c r="AP36" s="9" t="inlineStr">
        <is>
          <t>未定</t>
        </is>
      </c>
      <c r="AQ36">
        <f>COUNTIFS(加電履歴!$F:$F,B36,加電履歴!$E:$E,"畜種農業")</f>
        <v/>
      </c>
      <c r="AR36" s="10">
        <f>IFERROR(IF(COUNTIFS(加電履歴!$F:$F,B36,加電履歴!$E:$E,"畜種農業")=0,"",MAXIFS(加電履歴!$B:$B,加電履歴!$F:$F,B36,加電履歴!$E:$E,"畜種農業")),"")</f>
        <v/>
      </c>
      <c r="AS36">
        <f>IFERROR(IF(COUNTIFS(加電履歴!$F:$F,B36,加電履歴!$E:$E,"畜種農業")=0,"",INDEX(加電履歴!$I:$I,MATCH(1,(加電履歴!$F:$F=B36)*(加電履歴!$E:$E="畜種農業")*(加電履歴!$B:$B=MAXIFS(加電履歴!$B:$B,加電履歴!$F:$F,B36,加電履歴!$E:$E,"畜種農業")),0))),"")</f>
        <v/>
      </c>
    </row>
    <row r="37">
      <c r="A37" s="9" t="inlineStr">
        <is>
          <t>道南</t>
        </is>
      </c>
      <c r="B37" s="18" t="inlineStr">
        <is>
          <t>有限会社サクセス森</t>
        </is>
      </c>
      <c r="C37" s="12" t="inlineStr">
        <is>
          <t>https://www.hokkaido-pork.jp/farm/oshima-hiyama/farm_successmori/</t>
        </is>
      </c>
      <c r="D37" s="18" t="inlineStr">
        <is>
          <t>北海道茅部郡森町字石倉町613番地1</t>
        </is>
      </c>
      <c r="E37" s="18" t="inlineStr">
        <is>
          <t>01374-7-3939</t>
        </is>
      </c>
      <c r="F37" s="9" t="inlineStr">
        <is>
          <t>養豚経営</t>
        </is>
      </c>
      <c r="G37" s="9" t="inlineStr">
        <is>
          <t>若手人材の不足による生産体制の維持</t>
        </is>
      </c>
      <c r="H37" s="9" t="inlineStr">
        <is>
          <t>採用コストゼロで即戦力を配置し長期的な生産体制を構築</t>
        </is>
      </c>
      <c r="I37" s="9" t="inlineStr">
        <is>
          <t>経営陣</t>
        </is>
      </c>
      <c r="J37" s="9" t="inlineStr">
        <is>
          <t>代表</t>
        </is>
      </c>
      <c r="K37" s="9" t="inlineStr">
        <is>
          <t>不明</t>
        </is>
      </c>
      <c r="L37" s="9" t="inlineStr">
        <is>
          <t>未確認</t>
        </is>
      </c>
      <c r="Q37" s="9" t="inlineStr">
        <is>
          <t>未開拓</t>
        </is>
      </c>
      <c r="R37" s="9" t="inlineStr">
        <is>
          <t>ターゲット</t>
        </is>
      </c>
      <c r="S37" s="9" t="inlineStr">
        <is>
          <t>リストアップ</t>
        </is>
      </c>
      <c r="AH37" s="9" t="inlineStr">
        <is>
          <t>営業推進部</t>
        </is>
      </c>
      <c r="AI37" s="9" t="inlineStr">
        <is>
          <t>武田 悦郎</t>
        </is>
      </c>
      <c r="AP37" s="9" t="inlineStr">
        <is>
          <t>未定</t>
        </is>
      </c>
      <c r="AQ37">
        <f>COUNTIFS(加電履歴!$F:$F,B37,加電履歴!$E:$E,"畜種農業")</f>
        <v/>
      </c>
      <c r="AR37" s="10">
        <f>IFERROR(IF(COUNTIFS(加電履歴!$F:$F,B37,加電履歴!$E:$E,"畜種農業")=0,"",MAXIFS(加電履歴!$B:$B,加電履歴!$F:$F,B37,加電履歴!$E:$E,"畜種農業")),"")</f>
        <v/>
      </c>
      <c r="AS37">
        <f>IFERROR(IF(COUNTIFS(加電履歴!$F:$F,B37,加電履歴!$E:$E,"畜種農業")=0,"",INDEX(加電履歴!$I:$I,MATCH(1,(加電履歴!$F:$F=B37)*(加電履歴!$E:$E="畜種農業")*(加電履歴!$B:$B=MAXIFS(加電履歴!$B:$B,加電履歴!$F:$F,B37,加電履歴!$E:$E,"畜種農業")),0))),"")</f>
        <v/>
      </c>
    </row>
    <row r="38">
      <c r="A38" s="9" t="inlineStr">
        <is>
          <t>道南</t>
        </is>
      </c>
      <c r="B38" s="18" t="inlineStr">
        <is>
          <t>有限会社道南アグロ (ひこま豚)</t>
        </is>
      </c>
      <c r="C38" s="12" t="inlineStr">
        <is>
          <t>https://www.hikomabuta.com/</t>
        </is>
      </c>
      <c r="D38" s="18" t="inlineStr">
        <is>
          <t>北海道茅部郡森町姫川121-45</t>
        </is>
      </c>
      <c r="E38" s="18" t="inlineStr">
        <is>
          <t>01374-2-3939</t>
        </is>
      </c>
      <c r="F38" s="9" t="inlineStr">
        <is>
          <t>ひこま豚の生産・販売</t>
        </is>
      </c>
      <c r="G38" s="9" t="inlineStr">
        <is>
          <t>ブランド豚の徹底した飼養管理と人手不足</t>
        </is>
      </c>
      <c r="H38" s="9" t="inlineStr">
        <is>
          <t>きめ細やかな管理作業を即戦力が担いブランド品質の維持に貢献</t>
        </is>
      </c>
      <c r="I38" s="9" t="inlineStr">
        <is>
          <t>経営陣</t>
        </is>
      </c>
      <c r="J38" s="9" t="inlineStr">
        <is>
          <t>代表</t>
        </is>
      </c>
      <c r="K38" s="9" t="inlineStr">
        <is>
          <t>日沼 氏</t>
        </is>
      </c>
      <c r="L38" s="9" t="inlineStr">
        <is>
          <t>未確認</t>
        </is>
      </c>
      <c r="Q38" s="9" t="inlineStr">
        <is>
          <t>未開拓</t>
        </is>
      </c>
      <c r="R38" s="9" t="inlineStr">
        <is>
          <t>ターゲット</t>
        </is>
      </c>
      <c r="S38" s="9" t="inlineStr">
        <is>
          <t>リストアップ</t>
        </is>
      </c>
      <c r="AH38" s="9" t="inlineStr">
        <is>
          <t>営業推進部</t>
        </is>
      </c>
      <c r="AI38" s="9" t="inlineStr">
        <is>
          <t>武田 悦郎</t>
        </is>
      </c>
      <c r="AP38" s="9" t="inlineStr">
        <is>
          <t>未定</t>
        </is>
      </c>
      <c r="AQ38">
        <f>COUNTIFS(加電履歴!$F:$F,B38,加電履歴!$E:$E,"畜種農業")</f>
        <v/>
      </c>
      <c r="AR38" s="10">
        <f>IFERROR(IF(COUNTIFS(加電履歴!$F:$F,B38,加電履歴!$E:$E,"畜種農業")=0,"",MAXIFS(加電履歴!$B:$B,加電履歴!$F:$F,B38,加電履歴!$E:$E,"畜種農業")),"")</f>
        <v/>
      </c>
      <c r="AS38">
        <f>IFERROR(IF(COUNTIFS(加電履歴!$F:$F,B38,加電履歴!$E:$E,"畜種農業")=0,"",INDEX(加電履歴!$I:$I,MATCH(1,(加電履歴!$F:$F=B38)*(加電履歴!$E:$E="畜種農業")*(加電履歴!$B:$B=MAXIFS(加電履歴!$B:$B,加電履歴!$F:$F,B38,加電履歴!$E:$E,"畜種農業")),0))),"")</f>
        <v/>
      </c>
    </row>
    <row r="39">
      <c r="A39" s="9" t="inlineStr">
        <is>
          <t>道南</t>
        </is>
      </c>
      <c r="B39" s="18" t="inlineStr">
        <is>
          <t>有限会社西村畜産</t>
        </is>
      </c>
      <c r="C39" s="12" t="inlineStr">
        <is>
          <t>https://www.hokkaido-pork.jp/farm/oshima-hiyama/farm_nishimura/</t>
        </is>
      </c>
      <c r="D39" s="18" t="inlineStr">
        <is>
          <t>北海道茅部郡森町 ※詳細要確認</t>
        </is>
      </c>
      <c r="E39" s="18" t="inlineStr">
        <is>
          <t>※要確認 (北海道養豚生産者協会経由)</t>
        </is>
      </c>
      <c r="F39" s="9" t="inlineStr">
        <is>
          <t>養豚経営</t>
        </is>
      </c>
      <c r="G39" s="9" t="inlineStr">
        <is>
          <t>多頭数飼育における日常業務の効率化</t>
        </is>
      </c>
      <c r="H39" s="9" t="inlineStr">
        <is>
          <t>即戦力人材の導入により飼育スタッフの労働環境を改善</t>
        </is>
      </c>
      <c r="I39" s="9" t="inlineStr">
        <is>
          <t>経営陣</t>
        </is>
      </c>
      <c r="J39" s="9" t="inlineStr">
        <is>
          <t>代表</t>
        </is>
      </c>
      <c r="K39" s="9" t="inlineStr">
        <is>
          <t>西村 氏</t>
        </is>
      </c>
      <c r="L39" s="9" t="inlineStr">
        <is>
          <t>未確認</t>
        </is>
      </c>
      <c r="Q39" s="9" t="inlineStr">
        <is>
          <t>未開拓</t>
        </is>
      </c>
      <c r="R39" s="9" t="inlineStr">
        <is>
          <t>ターゲット</t>
        </is>
      </c>
      <c r="S39" s="9" t="inlineStr">
        <is>
          <t>リストアップ</t>
        </is>
      </c>
      <c r="AH39" s="9" t="inlineStr">
        <is>
          <t>営業推進部</t>
        </is>
      </c>
      <c r="AI39" s="9" t="inlineStr">
        <is>
          <t>武田 悦郎</t>
        </is>
      </c>
      <c r="AP39" s="9" t="inlineStr">
        <is>
          <t>未定</t>
        </is>
      </c>
      <c r="AQ39">
        <f>COUNTIFS(加電履歴!$F:$F,B39,加電履歴!$E:$E,"畜種農業")</f>
        <v/>
      </c>
      <c r="AR39" s="10">
        <f>IFERROR(IF(COUNTIFS(加電履歴!$F:$F,B39,加電履歴!$E:$E,"畜種農業")=0,"",MAXIFS(加電履歴!$B:$B,加電履歴!$F:$F,B39,加電履歴!$E:$E,"畜種農業")),"")</f>
        <v/>
      </c>
      <c r="AS39">
        <f>IFERROR(IF(COUNTIFS(加電履歴!$F:$F,B39,加電履歴!$E:$E,"畜種農業")=0,"",INDEX(加電履歴!$I:$I,MATCH(1,(加電履歴!$F:$F=B39)*(加電履歴!$E:$E="畜種農業")*(加電履歴!$B:$B=MAXIFS(加電履歴!$B:$B,加電履歴!$F:$F,B39,加電履歴!$E:$E,"畜種農業")),0))),"")</f>
        <v/>
      </c>
    </row>
    <row r="40">
      <c r="A40" s="9" t="inlineStr">
        <is>
          <t>道南</t>
        </is>
      </c>
      <c r="B40" s="18" t="inlineStr">
        <is>
          <t>有限会社高橋畜産 (若松ポークマン)</t>
        </is>
      </c>
      <c r="C40" s="12" t="inlineStr">
        <is>
          <t>https://porkman.jp/</t>
        </is>
      </c>
      <c r="D40" s="18" t="inlineStr">
        <is>
          <t>北海道久遠郡せたな町北檜山区松岡343 (〒049-4511)</t>
        </is>
      </c>
      <c r="E40" s="18" t="inlineStr">
        <is>
          <t>0137-84-6325</t>
        </is>
      </c>
      <c r="F40" s="9" t="inlineStr">
        <is>
          <t>養豚経営</t>
        </is>
      </c>
      <c r="G40" s="9" t="inlineStr">
        <is>
          <t>地方部における人材確保の難航</t>
        </is>
      </c>
      <c r="H40" s="9" t="inlineStr">
        <is>
          <t>採用コストをかけずに即戦力を確保し経営安定化を図る</t>
        </is>
      </c>
      <c r="I40" s="9" t="inlineStr">
        <is>
          <t>経営陣</t>
        </is>
      </c>
      <c r="J40" s="9" t="inlineStr">
        <is>
          <t>代表</t>
        </is>
      </c>
      <c r="K40" s="9" t="inlineStr">
        <is>
          <t>高橋 氏</t>
        </is>
      </c>
      <c r="L40" s="9" t="inlineStr">
        <is>
          <t>未確認</t>
        </is>
      </c>
      <c r="Q40" s="9" t="inlineStr">
        <is>
          <t>未開拓</t>
        </is>
      </c>
      <c r="R40" s="9" t="inlineStr">
        <is>
          <t>ターゲット</t>
        </is>
      </c>
      <c r="S40" s="9" t="inlineStr">
        <is>
          <t>リストアップ</t>
        </is>
      </c>
      <c r="AH40" s="9" t="inlineStr">
        <is>
          <t>営業推進部</t>
        </is>
      </c>
      <c r="AI40" s="9" t="inlineStr">
        <is>
          <t>武田 悦郎</t>
        </is>
      </c>
      <c r="AP40" s="9" t="inlineStr">
        <is>
          <t>未定</t>
        </is>
      </c>
      <c r="AQ40">
        <f>COUNTIFS(加電履歴!$F:$F,B40,加電履歴!$E:$E,"畜種農業")</f>
        <v/>
      </c>
      <c r="AR40" s="10">
        <f>IFERROR(IF(COUNTIFS(加電履歴!$F:$F,B40,加電履歴!$E:$E,"畜種農業")=0,"",MAXIFS(加電履歴!$B:$B,加電履歴!$F:$F,B40,加電履歴!$E:$E,"畜種農業")),"")</f>
        <v/>
      </c>
      <c r="AS40">
        <f>IFERROR(IF(COUNTIFS(加電履歴!$F:$F,B40,加電履歴!$E:$E,"畜種農業")=0,"",INDEX(加電履歴!$I:$I,MATCH(1,(加電履歴!$F:$F=B40)*(加電履歴!$E:$E="畜種農業")*(加電履歴!$B:$B=MAXIFS(加電履歴!$B:$B,加電履歴!$F:$F,B40,加電履歴!$E:$E,"畜種農業")),0))),"")</f>
        <v/>
      </c>
    </row>
    <row r="41">
      <c r="A41" s="9" t="inlineStr">
        <is>
          <t>道南</t>
        </is>
      </c>
      <c r="B41" s="18" t="inlineStr">
        <is>
          <t>有限会社森農場</t>
        </is>
      </c>
      <c r="C41" s="14" t="inlineStr"/>
      <c r="D41" s="18" t="inlineStr">
        <is>
          <t>北海道檜山郡上ノ国町 ※詳細要確認</t>
        </is>
      </c>
      <c r="E41" s="18" t="inlineStr">
        <is>
          <t>※要確認 (上ノ国町役場 0139-55-2311 経由)</t>
        </is>
      </c>
      <c r="F41" s="9" t="inlineStr">
        <is>
          <t>養豚経営</t>
        </is>
      </c>
      <c r="G41" s="9" t="inlineStr">
        <is>
          <t>遠隔地での労働力定着化</t>
        </is>
      </c>
      <c r="H41" s="9" t="inlineStr">
        <is>
          <t>即戦力として定着が見込める特定技能人材の提供</t>
        </is>
      </c>
      <c r="I41" s="9" t="inlineStr">
        <is>
          <t>経営陣</t>
        </is>
      </c>
      <c r="J41" s="9" t="inlineStr">
        <is>
          <t>代表</t>
        </is>
      </c>
      <c r="K41" s="9" t="inlineStr">
        <is>
          <t>森 氏</t>
        </is>
      </c>
      <c r="L41" s="9" t="inlineStr">
        <is>
          <t>未確認</t>
        </is>
      </c>
      <c r="Q41" s="9" t="inlineStr">
        <is>
          <t>未開拓</t>
        </is>
      </c>
      <c r="R41" s="9" t="inlineStr">
        <is>
          <t>ターゲット</t>
        </is>
      </c>
      <c r="S41" s="9" t="inlineStr">
        <is>
          <t>リストアップ</t>
        </is>
      </c>
      <c r="AH41" s="9" t="inlineStr">
        <is>
          <t>営業推進部</t>
        </is>
      </c>
      <c r="AI41" s="9" t="inlineStr">
        <is>
          <t>武田 悦郎</t>
        </is>
      </c>
      <c r="AP41" s="9" t="inlineStr">
        <is>
          <t>未定</t>
        </is>
      </c>
      <c r="AQ41">
        <f>COUNTIFS(加電履歴!$F:$F,B41,加電履歴!$E:$E,"畜種農業")</f>
        <v/>
      </c>
      <c r="AR41" s="10">
        <f>IFERROR(IF(COUNTIFS(加電履歴!$F:$F,B41,加電履歴!$E:$E,"畜種農業")=0,"",MAXIFS(加電履歴!$B:$B,加電履歴!$F:$F,B41,加電履歴!$E:$E,"畜種農業")),"")</f>
        <v/>
      </c>
      <c r="AS41">
        <f>IFERROR(IF(COUNTIFS(加電履歴!$F:$F,B41,加電履歴!$E:$E,"畜種農業")=0,"",INDEX(加電履歴!$I:$I,MATCH(1,(加電履歴!$F:$F=B41)*(加電履歴!$E:$E="畜種農業")*(加電履歴!$B:$B=MAXIFS(加電履歴!$B:$B,加電履歴!$F:$F,B41,加電履歴!$E:$E,"畜種農業")),0))),"")</f>
        <v/>
      </c>
    </row>
    <row r="42">
      <c r="A42" s="9" t="inlineStr">
        <is>
          <t>道南</t>
        </is>
      </c>
      <c r="B42" s="18" t="inlineStr">
        <is>
          <t>株式会社ひこま豚 / 道南アグロ</t>
        </is>
      </c>
      <c r="C42" s="12" t="inlineStr">
        <is>
          <t>https://www.hikomabuta.com/</t>
        </is>
      </c>
      <c r="D42" s="18" t="inlineStr">
        <is>
          <t>北海道茅部郡森町 ※Row 38 道南アグロのブランド・統合検討</t>
        </is>
      </c>
      <c r="E42" s="18" t="inlineStr">
        <is>
          <t>01374-2-3939 ※Row 38と同一実体</t>
        </is>
      </c>
      <c r="F42" s="9" t="inlineStr">
        <is>
          <t>SPF豚生産・直売</t>
        </is>
      </c>
      <c r="G42" s="9" t="inlineStr">
        <is>
          <t>生産から販売までの一貫体制による多忙</t>
        </is>
      </c>
      <c r="H42" s="9" t="inlineStr">
        <is>
          <t>生産部門に即戦力を配置し販売・加工部門を強化する提案</t>
        </is>
      </c>
      <c r="I42" s="9" t="inlineStr">
        <is>
          <t>本社</t>
        </is>
      </c>
      <c r="J42" s="9" t="inlineStr">
        <is>
          <t>代表取締役</t>
        </is>
      </c>
      <c r="K42" s="9" t="inlineStr">
        <is>
          <t>日沼 氏</t>
        </is>
      </c>
      <c r="L42" s="9" t="inlineStr">
        <is>
          <t>未確認</t>
        </is>
      </c>
      <c r="Q42" s="9" t="inlineStr">
        <is>
          <t>未開拓</t>
        </is>
      </c>
      <c r="R42" s="9" t="inlineStr">
        <is>
          <t>ターゲット</t>
        </is>
      </c>
      <c r="S42" s="9" t="inlineStr">
        <is>
          <t>リストアップ</t>
        </is>
      </c>
      <c r="AH42" s="9" t="inlineStr">
        <is>
          <t>営業推進部</t>
        </is>
      </c>
      <c r="AI42" s="9" t="inlineStr">
        <is>
          <t>武田 悦郎</t>
        </is>
      </c>
      <c r="AP42" s="9" t="inlineStr">
        <is>
          <t>未定</t>
        </is>
      </c>
      <c r="AQ42">
        <f>COUNTIFS(加電履歴!$F:$F,B42,加電履歴!$E:$E,"畜種農業")</f>
        <v/>
      </c>
      <c r="AR42" s="10">
        <f>IFERROR(IF(COUNTIFS(加電履歴!$F:$F,B42,加電履歴!$E:$E,"畜種農業")=0,"",MAXIFS(加電履歴!$B:$B,加電履歴!$F:$F,B42,加電履歴!$E:$E,"畜種農業")),"")</f>
        <v/>
      </c>
      <c r="AS42">
        <f>IFERROR(IF(COUNTIFS(加電履歴!$F:$F,B42,加電履歴!$E:$E,"畜種農業")=0,"",INDEX(加電履歴!$I:$I,MATCH(1,(加電履歴!$F:$F=B42)*(加電履歴!$E:$E="畜種農業")*(加電履歴!$B:$B=MAXIFS(加電履歴!$B:$B,加電履歴!$F:$F,B42,加電履歴!$E:$E,"畜種農業")),0))),"")</f>
        <v/>
      </c>
    </row>
    <row r="43">
      <c r="A43" s="9" t="inlineStr">
        <is>
          <t>道南</t>
        </is>
      </c>
      <c r="B43" s="18" t="inlineStr">
        <is>
          <t>株式会社函館酪農公社 (函館牛乳)</t>
        </is>
      </c>
      <c r="C43" s="12" t="inlineStr">
        <is>
          <t>https://www.e-milk.co.jp/</t>
        </is>
      </c>
      <c r="D43" s="18" t="inlineStr">
        <is>
          <t>北海道函館市中野町118番地 (〒042-0912)</t>
        </is>
      </c>
      <c r="E43" s="18" t="inlineStr">
        <is>
          <t>0138-58-4460</t>
        </is>
      </c>
      <c r="F43" s="9" t="inlineStr">
        <is>
          <t>函館牛乳の製造・販売・観光牧場</t>
        </is>
      </c>
      <c r="G43" s="9" t="inlineStr">
        <is>
          <t>製造ラインと牧場管理の並行による労働負荷</t>
        </is>
      </c>
      <c r="H43" s="9" t="inlineStr">
        <is>
          <t>製造・飼育の両面で即戦力となる人材を活用し採用コストを抑制</t>
        </is>
      </c>
      <c r="I43" s="9" t="inlineStr">
        <is>
          <t>管理部</t>
        </is>
      </c>
      <c r="J43" s="9" t="inlineStr">
        <is>
          <t>代表取締役</t>
        </is>
      </c>
      <c r="K43" s="9" t="inlineStr">
        <is>
          <t>不明</t>
        </is>
      </c>
      <c r="L43" s="9" t="inlineStr">
        <is>
          <t>未確認</t>
        </is>
      </c>
      <c r="Q43" s="9" t="inlineStr">
        <is>
          <t>未開拓</t>
        </is>
      </c>
      <c r="R43" s="9" t="inlineStr">
        <is>
          <t>ターゲット</t>
        </is>
      </c>
      <c r="S43" s="9" t="inlineStr">
        <is>
          <t>リストアップ</t>
        </is>
      </c>
      <c r="AH43" s="9" t="inlineStr">
        <is>
          <t>営業推進部</t>
        </is>
      </c>
      <c r="AI43" s="9" t="inlineStr">
        <is>
          <t>武田 悦郎</t>
        </is>
      </c>
      <c r="AP43" s="9" t="inlineStr">
        <is>
          <t>未定</t>
        </is>
      </c>
      <c r="AQ43">
        <f>COUNTIFS(加電履歴!$F:$F,B43,加電履歴!$E:$E,"畜種農業")</f>
        <v/>
      </c>
      <c r="AR43" s="10">
        <f>IFERROR(IF(COUNTIFS(加電履歴!$F:$F,B43,加電履歴!$E:$E,"畜種農業")=0,"",MAXIFS(加電履歴!$B:$B,加電履歴!$F:$F,B43,加電履歴!$E:$E,"畜種農業")),"")</f>
        <v/>
      </c>
      <c r="AS43">
        <f>IFERROR(IF(COUNTIFS(加電履歴!$F:$F,B43,加電履歴!$E:$E,"畜種農業")=0,"",INDEX(加電履歴!$I:$I,MATCH(1,(加電履歴!$F:$F=B43)*(加電履歴!$E:$E="畜種農業")*(加電履歴!$B:$B=MAXIFS(加電履歴!$B:$B,加電履歴!$F:$F,B43,加電履歴!$E:$E,"畜種農業")),0))),"")</f>
        <v/>
      </c>
    </row>
    <row r="44">
      <c r="A44" s="9" t="inlineStr">
        <is>
          <t>道南</t>
        </is>
      </c>
      <c r="B44" s="18" t="inlineStr">
        <is>
          <t>はこだてSinアグリファーム</t>
        </is>
      </c>
      <c r="C44" s="14" t="inlineStr"/>
      <c r="D44" s="18" t="inlineStr">
        <is>
          <t>北海道函館市 ※詳細要確認</t>
        </is>
      </c>
      <c r="E44" s="18" t="inlineStr">
        <is>
          <t>※要確認</t>
        </is>
      </c>
      <c r="F44" s="9" t="inlineStr">
        <is>
          <t>畜産物・果樹の複合経営</t>
        </is>
      </c>
      <c r="G44" s="9" t="inlineStr">
        <is>
          <t>畜産と果樹の農繁期の重なり</t>
        </is>
      </c>
      <c r="H44" s="9" t="inlineStr">
        <is>
          <t>多様な作業に即戦力で対応できる外国人材の導入提案</t>
        </is>
      </c>
      <c r="I44" s="9" t="inlineStr">
        <is>
          <t>経営陣</t>
        </is>
      </c>
      <c r="J44" s="9" t="inlineStr">
        <is>
          <t>代表</t>
        </is>
      </c>
      <c r="K44" s="9" t="inlineStr">
        <is>
          <t>不明</t>
        </is>
      </c>
      <c r="L44" s="9" t="inlineStr">
        <is>
          <t>未確認</t>
        </is>
      </c>
      <c r="Q44" s="9" t="inlineStr">
        <is>
          <t>未開拓</t>
        </is>
      </c>
      <c r="R44" s="9" t="inlineStr">
        <is>
          <t>ターゲット</t>
        </is>
      </c>
      <c r="S44" s="9" t="inlineStr">
        <is>
          <t>リストアップ</t>
        </is>
      </c>
      <c r="AH44" s="9" t="inlineStr">
        <is>
          <t>営業推進部</t>
        </is>
      </c>
      <c r="AI44" s="9" t="inlineStr">
        <is>
          <t>武田 悦郎</t>
        </is>
      </c>
      <c r="AP44" s="9" t="inlineStr">
        <is>
          <t>未定</t>
        </is>
      </c>
      <c r="AQ44">
        <f>COUNTIFS(加電履歴!$F:$F,B44,加電履歴!$E:$E,"畜種農業")</f>
        <v/>
      </c>
      <c r="AR44" s="10">
        <f>IFERROR(IF(COUNTIFS(加電履歴!$F:$F,B44,加電履歴!$E:$E,"畜種農業")=0,"",MAXIFS(加電履歴!$B:$B,加電履歴!$F:$F,B44,加電履歴!$E:$E,"畜種農業")),"")</f>
        <v/>
      </c>
      <c r="AS44">
        <f>IFERROR(IF(COUNTIFS(加電履歴!$F:$F,B44,加電履歴!$E:$E,"畜種農業")=0,"",INDEX(加電履歴!$I:$I,MATCH(1,(加電履歴!$F:$F=B44)*(加電履歴!$E:$E="畜種農業")*(加電履歴!$B:$B=MAXIFS(加電履歴!$B:$B,加電履歴!$F:$F,B44,加電履歴!$E:$E,"畜種農業")),0))),"")</f>
        <v/>
      </c>
    </row>
    <row r="45">
      <c r="A45" s="9" t="inlineStr">
        <is>
          <t>道南</t>
        </is>
      </c>
      <c r="B45" s="18" t="inlineStr">
        <is>
          <t>小澤牧場 (大沼肉牛ファーム)</t>
        </is>
      </c>
      <c r="C45" s="12" t="inlineStr">
        <is>
          <t>https://www.onuma-nikugyu-farm.com/</t>
        </is>
      </c>
      <c r="D45" s="18" t="inlineStr">
        <is>
          <t>北海道亀田郡七飯町上軍川619-4 (〒041-1353)</t>
        </is>
      </c>
      <c r="E45" s="18" t="inlineStr">
        <is>
          <t>0138-67-3600 / 0138-67-2127</t>
        </is>
      </c>
      <c r="F45" s="9" t="inlineStr">
        <is>
          <t>大沼牛の生産</t>
        </is>
      </c>
      <c r="G45" s="9" t="inlineStr">
        <is>
          <t>高級肉牛の緻密な給餌管理</t>
        </is>
      </c>
      <c r="H45" s="9" t="inlineStr">
        <is>
          <t>日常的な給餌・清掃を即戦力に任せ観察体制に注力</t>
        </is>
      </c>
      <c r="I45" s="9" t="inlineStr">
        <is>
          <t>経営陣</t>
        </is>
      </c>
      <c r="J45" s="9" t="inlineStr">
        <is>
          <t>代表</t>
        </is>
      </c>
      <c r="K45" s="9" t="inlineStr">
        <is>
          <t>小澤 氏</t>
        </is>
      </c>
      <c r="L45" s="9" t="inlineStr">
        <is>
          <t>未確認</t>
        </is>
      </c>
      <c r="Q45" s="9" t="inlineStr">
        <is>
          <t>未開拓</t>
        </is>
      </c>
      <c r="R45" s="9" t="inlineStr">
        <is>
          <t>ターゲット</t>
        </is>
      </c>
      <c r="S45" s="9" t="inlineStr">
        <is>
          <t>リストアップ</t>
        </is>
      </c>
      <c r="AH45" s="9" t="inlineStr">
        <is>
          <t>営業推進部</t>
        </is>
      </c>
      <c r="AI45" s="9" t="inlineStr">
        <is>
          <t>武田 悦郎</t>
        </is>
      </c>
      <c r="AP45" s="9" t="inlineStr">
        <is>
          <t>未定</t>
        </is>
      </c>
      <c r="AQ45">
        <f>COUNTIFS(加電履歴!$F:$F,B45,加電履歴!$E:$E,"畜種農業")</f>
        <v/>
      </c>
      <c r="AR45" s="10">
        <f>IFERROR(IF(COUNTIFS(加電履歴!$F:$F,B45,加電履歴!$E:$E,"畜種農業")=0,"",MAXIFS(加電履歴!$B:$B,加電履歴!$F:$F,B45,加電履歴!$E:$E,"畜種農業")),"")</f>
        <v/>
      </c>
      <c r="AS45">
        <f>IFERROR(IF(COUNTIFS(加電履歴!$F:$F,B45,加電履歴!$E:$E,"畜種農業")=0,"",INDEX(加電履歴!$I:$I,MATCH(1,(加電履歴!$F:$F=B45)*(加電履歴!$E:$E="畜種農業")*(加電履歴!$B:$B=MAXIFS(加電履歴!$B:$B,加電履歴!$F:$F,B45,加電履歴!$E:$E,"畜種農業")),0))),"")</f>
        <v/>
      </c>
    </row>
    <row r="46">
      <c r="A46" s="9" t="inlineStr">
        <is>
          <t>道南</t>
        </is>
      </c>
      <c r="B46" s="18" t="inlineStr">
        <is>
          <t>鈴木牧場 (北斗市)</t>
        </is>
      </c>
      <c r="C46" s="14" t="inlineStr"/>
      <c r="D46" s="18" t="inlineStr">
        <is>
          <t>北海道北斗市向野3丁目1-21</t>
        </is>
      </c>
      <c r="E46" s="18" t="inlineStr">
        <is>
          <t>0138-77-8241</t>
        </is>
      </c>
      <c r="F46" s="9" t="inlineStr">
        <is>
          <t>酪農</t>
        </is>
      </c>
      <c r="G46" s="9" t="inlineStr">
        <is>
          <t>搾乳作業の通年確保</t>
        </is>
      </c>
      <c r="H46" s="9" t="inlineStr">
        <is>
          <t>採用コスト不要で早朝・夜間の搾乳に対応できる即戦力の提供</t>
        </is>
      </c>
      <c r="I46" s="9" t="inlineStr">
        <is>
          <t>経営陣</t>
        </is>
      </c>
      <c r="J46" s="9" t="inlineStr">
        <is>
          <t>代表</t>
        </is>
      </c>
      <c r="K46" s="9" t="inlineStr">
        <is>
          <t>鈴木 氏</t>
        </is>
      </c>
      <c r="L46" s="9" t="inlineStr">
        <is>
          <t>未確認</t>
        </is>
      </c>
      <c r="Q46" s="9" t="inlineStr">
        <is>
          <t>未開拓</t>
        </is>
      </c>
      <c r="R46" s="9" t="inlineStr">
        <is>
          <t>ターゲット</t>
        </is>
      </c>
      <c r="S46" s="9" t="inlineStr">
        <is>
          <t>リストアップ</t>
        </is>
      </c>
      <c r="AH46" s="9" t="inlineStr">
        <is>
          <t>営業推進部</t>
        </is>
      </c>
      <c r="AI46" s="9" t="inlineStr">
        <is>
          <t>武田 悦郎</t>
        </is>
      </c>
      <c r="AP46" s="9" t="inlineStr">
        <is>
          <t>未定</t>
        </is>
      </c>
      <c r="AQ46">
        <f>COUNTIFS(加電履歴!$F:$F,B46,加電履歴!$E:$E,"畜種農業")</f>
        <v/>
      </c>
      <c r="AR46" s="10">
        <f>IFERROR(IF(COUNTIFS(加電履歴!$F:$F,B46,加電履歴!$E:$E,"畜種農業")=0,"",MAXIFS(加電履歴!$B:$B,加電履歴!$F:$F,B46,加電履歴!$E:$E,"畜種農業")),"")</f>
        <v/>
      </c>
      <c r="AS46">
        <f>IFERROR(IF(COUNTIFS(加電履歴!$F:$F,B46,加電履歴!$E:$E,"畜種農業")=0,"",INDEX(加電履歴!$I:$I,MATCH(1,(加電履歴!$F:$F=B46)*(加電履歴!$E:$E="畜種農業")*(加電履歴!$B:$B=MAXIFS(加電履歴!$B:$B,加電履歴!$F:$F,B46,加電履歴!$E:$E,"畜種農業")),0))),"")</f>
        <v/>
      </c>
    </row>
    <row r="47">
      <c r="A47" s="9" t="inlineStr">
        <is>
          <t>道南</t>
        </is>
      </c>
      <c r="B47" s="18" t="inlineStr">
        <is>
          <t>※有限会社八雲ファーム → 日本クリーンファーム(株)へ社名変更 (Row 35と統合)</t>
        </is>
      </c>
      <c r="C47" s="14" t="inlineStr"/>
      <c r="D47" s="18" t="inlineStr">
        <is>
          <t>※2023年4月1日に「日本クリーンファーム(株)」に社名変更。Row 35参照</t>
        </is>
      </c>
      <c r="E47" s="18" t="inlineStr">
        <is>
          <t>※存続: 日本クリーンファーム</t>
        </is>
      </c>
      <c r="F47" s="9" t="inlineStr">
        <is>
          <t>酪農・複合</t>
        </is>
      </c>
      <c r="G47" s="9" t="inlineStr">
        <is>
          <t>八雲町の広大な土地を活かした酪農</t>
        </is>
      </c>
      <c r="H47" s="9" t="inlineStr">
        <is>
          <t>広域な牛群管理をサポートする即戦力の導入</t>
        </is>
      </c>
      <c r="I47" s="9" t="inlineStr">
        <is>
          <t>経営陣</t>
        </is>
      </c>
      <c r="J47" s="9" t="inlineStr">
        <is>
          <t>代表</t>
        </is>
      </c>
      <c r="K47" s="9" t="inlineStr">
        <is>
          <t>不明</t>
        </is>
      </c>
      <c r="L47" s="9" t="inlineStr">
        <is>
          <t>未確認</t>
        </is>
      </c>
      <c r="Q47" s="9" t="inlineStr">
        <is>
          <t>未開拓</t>
        </is>
      </c>
      <c r="R47" s="9" t="inlineStr">
        <is>
          <t>ターゲット</t>
        </is>
      </c>
      <c r="S47" s="9" t="inlineStr">
        <is>
          <t>リストアップ</t>
        </is>
      </c>
      <c r="AH47" s="9" t="inlineStr">
        <is>
          <t>営業推進部</t>
        </is>
      </c>
      <c r="AI47" s="9" t="inlineStr">
        <is>
          <t>武田 悦郎</t>
        </is>
      </c>
      <c r="AP47" s="9" t="inlineStr">
        <is>
          <t>未定</t>
        </is>
      </c>
      <c r="AQ47">
        <f>COUNTIFS(加電履歴!$F:$F,B47,加電履歴!$E:$E,"畜種農業")</f>
        <v/>
      </c>
      <c r="AR47" s="10">
        <f>IFERROR(IF(COUNTIFS(加電履歴!$F:$F,B47,加電履歴!$E:$E,"畜種農業")=0,"",MAXIFS(加電履歴!$B:$B,加電履歴!$F:$F,B47,加電履歴!$E:$E,"畜種農業")),"")</f>
        <v/>
      </c>
      <c r="AS47">
        <f>IFERROR(IF(COUNTIFS(加電履歴!$F:$F,B47,加電履歴!$E:$E,"畜種農業")=0,"",INDEX(加電履歴!$I:$I,MATCH(1,(加電履歴!$F:$F=B47)*(加電履歴!$E:$E="畜種農業")*(加電履歴!$B:$B=MAXIFS(加電履歴!$B:$B,加電履歴!$F:$F,B47,加電履歴!$E:$E,"畜種農業")),0))),"")</f>
        <v/>
      </c>
    </row>
    <row r="48">
      <c r="A48" s="9" t="inlineStr">
        <is>
          <t>道南</t>
        </is>
      </c>
      <c r="B48" s="18" t="inlineStr">
        <is>
          <t>日本フードパッカー株式会社 道南工場</t>
        </is>
      </c>
      <c r="C48" s="12" t="inlineStr">
        <is>
          <t>https://www.foodpacker.jp/</t>
        </is>
      </c>
      <c r="D48" s="18" t="inlineStr">
        <is>
          <t>北海道二海郡八雲町立岩356 (〒049-3123)</t>
        </is>
      </c>
      <c r="E48" s="18" t="inlineStr">
        <is>
          <t>0137-63-4129</t>
        </is>
      </c>
      <c r="F48" s="9" t="inlineStr">
        <is>
          <t>牛・豚の食肉処理</t>
        </is>
      </c>
      <c r="G48" s="9" t="inlineStr">
        <is>
          <t>処理工場における慢性的な人員不足</t>
        </is>
      </c>
      <c r="H48" s="9" t="inlineStr">
        <is>
          <t>食肉加工現場で即戦力となる特定技能人材の配置</t>
        </is>
      </c>
      <c r="I48" s="9" t="inlineStr">
        <is>
          <t>総務部</t>
        </is>
      </c>
      <c r="J48" s="9" t="inlineStr">
        <is>
          <t>工場長</t>
        </is>
      </c>
      <c r="K48" s="9" t="inlineStr">
        <is>
          <t>不明</t>
        </is>
      </c>
      <c r="L48" s="9" t="inlineStr">
        <is>
          <t>未確認</t>
        </is>
      </c>
      <c r="Q48" s="9" t="inlineStr">
        <is>
          <t>未開拓</t>
        </is>
      </c>
      <c r="R48" s="9" t="inlineStr">
        <is>
          <t>ターゲット</t>
        </is>
      </c>
      <c r="S48" s="9" t="inlineStr">
        <is>
          <t>リストアップ</t>
        </is>
      </c>
      <c r="AH48" s="9" t="inlineStr">
        <is>
          <t>営業推進部</t>
        </is>
      </c>
      <c r="AI48" s="9" t="inlineStr">
        <is>
          <t>武田 悦郎</t>
        </is>
      </c>
      <c r="AP48" s="9" t="inlineStr">
        <is>
          <t>未定</t>
        </is>
      </c>
      <c r="AQ48">
        <f>COUNTIFS(加電履歴!$F:$F,B48,加電履歴!$E:$E,"畜種農業")</f>
        <v/>
      </c>
      <c r="AR48" s="10">
        <f>IFERROR(IF(COUNTIFS(加電履歴!$F:$F,B48,加電履歴!$E:$E,"畜種農業")=0,"",MAXIFS(加電履歴!$B:$B,加電履歴!$F:$F,B48,加電履歴!$E:$E,"畜種農業")),"")</f>
        <v/>
      </c>
      <c r="AS48">
        <f>IFERROR(IF(COUNTIFS(加電履歴!$F:$F,B48,加電履歴!$E:$E,"畜種農業")=0,"",INDEX(加電履歴!$I:$I,MATCH(1,(加電履歴!$F:$F=B48)*(加電履歴!$E:$E="畜種農業")*(加電履歴!$B:$B=MAXIFS(加電履歴!$B:$B,加電履歴!$F:$F,B48,加電履歴!$E:$E,"畜種農業")),0))),"")</f>
        <v/>
      </c>
    </row>
    <row r="49">
      <c r="A49" s="9" t="inlineStr">
        <is>
          <t>道北</t>
        </is>
      </c>
      <c r="B49" s="18" t="inlineStr">
        <is>
          <t>株式会社東武牧場</t>
        </is>
      </c>
      <c r="C49" s="12" t="inlineStr">
        <is>
          <t>https://www.facebook.com/Toubufarm/</t>
        </is>
      </c>
      <c r="D49" s="18" t="inlineStr">
        <is>
          <t>北海道士別市武徳町44線東8号 (〒095-0062)</t>
        </is>
      </c>
      <c r="E49" s="18" t="inlineStr">
        <is>
          <t>0165-23-1548</t>
        </is>
      </c>
      <c r="F49" s="9" t="inlineStr">
        <is>
          <t>素牛育成専門/常時3200頭飼養</t>
        </is>
      </c>
      <c r="G49" s="9" t="inlineStr">
        <is>
          <t>年間5000頭の仔牛育成における健康管理</t>
        </is>
      </c>
      <c r="H49" s="9" t="inlineStr">
        <is>
          <t>ルーティン作業を即戦力に任せ観察に注力</t>
        </is>
      </c>
      <c r="I49" s="9" t="inlineStr">
        <is>
          <t>経営陣</t>
        </is>
      </c>
      <c r="J49" s="9" t="inlineStr">
        <is>
          <t>代表</t>
        </is>
      </c>
      <c r="K49" s="9" t="inlineStr">
        <is>
          <t>不明</t>
        </is>
      </c>
      <c r="L49" s="9" t="inlineStr">
        <is>
          <t>未確認</t>
        </is>
      </c>
      <c r="Q49" s="9" t="inlineStr">
        <is>
          <t>未開拓</t>
        </is>
      </c>
      <c r="R49" s="9" t="inlineStr">
        <is>
          <t>ターゲット</t>
        </is>
      </c>
      <c r="S49" s="9" t="inlineStr">
        <is>
          <t>リストアップ</t>
        </is>
      </c>
      <c r="AG49" s="9" t="inlineStr">
        <is>
          <t>営業推進部</t>
        </is>
      </c>
      <c r="AH49" s="9" t="inlineStr">
        <is>
          <t>武田 悦郎</t>
        </is>
      </c>
      <c r="AN49" s="9" t="inlineStr">
        <is>
          <t>未定</t>
        </is>
      </c>
      <c r="AQ49">
        <f>COUNTIFS(加電履歴!$F:$F,B49,加電履歴!$E:$E,"畜種農業")</f>
        <v/>
      </c>
      <c r="AR49" s="10">
        <f>IFERROR(IF(COUNTIFS(加電履歴!$F:$F,B49,加電履歴!$E:$E,"畜種農業")=0,"",MAXIFS(加電履歴!$B:$B,加電履歴!$F:$F,B49,加電履歴!$E:$E,"畜種農業")),"")</f>
        <v/>
      </c>
      <c r="AS49">
        <f>IFERROR(IF(COUNTIFS(加電履歴!$F:$F,B49,加電履歴!$E:$E,"畜種農業")=0,"",INDEX(加電履歴!$I:$I,MATCH(1,(加電履歴!$F:$F=B49)*(加電履歴!$E:$E="畜種農業")*(加電履歴!$B:$B=MAXIFS(加電履歴!$B:$B,加電履歴!$F:$F,B49,加電履歴!$E:$E,"畜種農業")),0))),"")</f>
        <v/>
      </c>
    </row>
    <row r="50">
      <c r="A50" s="9" t="inlineStr">
        <is>
          <t>道北</t>
        </is>
      </c>
      <c r="B50" s="18" t="inlineStr">
        <is>
          <t>株式会社早川牧場 / 有限会社下士別畜産 (もろみ豚 共同販売)</t>
        </is>
      </c>
      <c r="C50" s="12" t="inlineStr">
        <is>
          <t>http://www.moromi.co.jp/</t>
        </is>
      </c>
      <c r="D50" s="18" t="inlineStr">
        <is>
          <t>北海道士別市下士別町41線東3 (早川牧場) / 41線18 (下士別畜産) (〒095-0061)</t>
        </is>
      </c>
      <c r="E50" s="18" t="inlineStr">
        <is>
          <t>0165-22-4157 (早川牧場) / 0165-23-3928 (下士別畜産)</t>
        </is>
      </c>
      <c r="F50" s="9" t="inlineStr">
        <is>
          <t>肉牛生産/独自ブランド</t>
        </is>
      </c>
      <c r="G50" s="9" t="inlineStr">
        <is>
          <t>良質な肉質を保つための飼育管理</t>
        </is>
      </c>
      <c r="H50" s="9" t="inlineStr">
        <is>
          <t>採用コスト不要の若手人材による基盤強化</t>
        </is>
      </c>
      <c r="I50" s="9" t="inlineStr">
        <is>
          <t>経営陣</t>
        </is>
      </c>
      <c r="J50" s="9" t="inlineStr">
        <is>
          <t>代表</t>
        </is>
      </c>
      <c r="K50" s="9" t="inlineStr">
        <is>
          <t>不明</t>
        </is>
      </c>
      <c r="L50" s="9" t="inlineStr">
        <is>
          <t>未確認</t>
        </is>
      </c>
      <c r="Q50" s="9" t="inlineStr">
        <is>
          <t>未開拓</t>
        </is>
      </c>
      <c r="R50" s="9" t="inlineStr">
        <is>
          <t>ターゲット</t>
        </is>
      </c>
      <c r="S50" s="9" t="inlineStr">
        <is>
          <t>リストアップ</t>
        </is>
      </c>
      <c r="AG50" s="9" t="inlineStr">
        <is>
          <t>営業推進部</t>
        </is>
      </c>
      <c r="AH50" s="9" t="inlineStr">
        <is>
          <t>武田 悦郎</t>
        </is>
      </c>
      <c r="AN50" s="9" t="inlineStr">
        <is>
          <t>未定</t>
        </is>
      </c>
      <c r="AQ50">
        <f>COUNTIFS(加電履歴!$F:$F,B50,加電履歴!$E:$E,"畜種農業")</f>
        <v/>
      </c>
      <c r="AR50" s="10">
        <f>IFERROR(IF(COUNTIFS(加電履歴!$F:$F,B50,加電履歴!$E:$E,"畜種農業")=0,"",MAXIFS(加電履歴!$B:$B,加電履歴!$F:$F,B50,加電履歴!$E:$E,"畜種農業")),"")</f>
        <v/>
      </c>
      <c r="AS50">
        <f>IFERROR(IF(COUNTIFS(加電履歴!$F:$F,B50,加電履歴!$E:$E,"畜種農業")=0,"",INDEX(加電履歴!$I:$I,MATCH(1,(加電履歴!$F:$F=B50)*(加電履歴!$E:$E="畜種農業")*(加電履歴!$B:$B=MAXIFS(加電履歴!$B:$B,加電履歴!$F:$F,B50,加電履歴!$E:$E,"畜種農業")),0))),"")</f>
        <v/>
      </c>
    </row>
    <row r="51">
      <c r="A51" s="9" t="inlineStr">
        <is>
          <t>道北</t>
        </is>
      </c>
      <c r="B51" s="18" t="inlineStr">
        <is>
          <t>美瑛放牧酪農場 (株式会社美瑛ファーム)</t>
        </is>
      </c>
      <c r="C51" s="12" t="inlineStr">
        <is>
          <t>http://biei-farm.co.jp/</t>
        </is>
      </c>
      <c r="D51" s="18" t="inlineStr">
        <is>
          <t>北海道上川郡美瑛町新星平和5235</t>
        </is>
      </c>
      <c r="E51" s="18" t="inlineStr">
        <is>
          <t>0166-68-6777</t>
        </is>
      </c>
      <c r="F51" s="9" t="inlineStr">
        <is>
          <t>通年放牧酪農</t>
        </is>
      </c>
      <c r="G51" s="9" t="inlineStr">
        <is>
          <t>広大な放牧地の管理と業務兼務</t>
        </is>
      </c>
      <c r="H51" s="9" t="inlineStr">
        <is>
          <t>バックヤードの飼育管理を担う人材提供</t>
        </is>
      </c>
      <c r="I51" s="9" t="inlineStr">
        <is>
          <t>経営陣</t>
        </is>
      </c>
      <c r="J51" s="9" t="inlineStr">
        <is>
          <t>代表</t>
        </is>
      </c>
      <c r="K51" s="9" t="inlineStr">
        <is>
          <t>不明</t>
        </is>
      </c>
      <c r="L51" s="9" t="inlineStr">
        <is>
          <t>未確認</t>
        </is>
      </c>
      <c r="Q51" s="9" t="inlineStr">
        <is>
          <t>未開拓</t>
        </is>
      </c>
      <c r="R51" s="9" t="inlineStr">
        <is>
          <t>ターゲット</t>
        </is>
      </c>
      <c r="S51" s="9" t="inlineStr">
        <is>
          <t>リストアップ</t>
        </is>
      </c>
      <c r="AG51" s="9" t="inlineStr">
        <is>
          <t>営業推進部</t>
        </is>
      </c>
      <c r="AH51" s="9" t="inlineStr">
        <is>
          <t>武田 悦郎</t>
        </is>
      </c>
      <c r="AN51" s="9" t="inlineStr">
        <is>
          <t>未定</t>
        </is>
      </c>
      <c r="AQ51">
        <f>COUNTIFS(加電履歴!$F:$F,B51,加電履歴!$E:$E,"畜種農業")</f>
        <v/>
      </c>
      <c r="AR51" s="10">
        <f>IFERROR(IF(COUNTIFS(加電履歴!$F:$F,B51,加電履歴!$E:$E,"畜種農業")=0,"",MAXIFS(加電履歴!$B:$B,加電履歴!$F:$F,B51,加電履歴!$E:$E,"畜種農業")),"")</f>
        <v/>
      </c>
      <c r="AS51">
        <f>IFERROR(IF(COUNTIFS(加電履歴!$F:$F,B51,加電履歴!$E:$E,"畜種農業")=0,"",INDEX(加電履歴!$I:$I,MATCH(1,(加電履歴!$F:$F=B51)*(加電履歴!$E:$E="畜種農業")*(加電履歴!$B:$B=MAXIFS(加電履歴!$B:$B,加電履歴!$F:$F,B51,加電履歴!$E:$E,"畜種農業")),0))),"")</f>
        <v/>
      </c>
    </row>
    <row r="52">
      <c r="A52" s="9" t="inlineStr">
        <is>
          <t>道北</t>
        </is>
      </c>
      <c r="B52" s="18" t="inlineStr">
        <is>
          <t>ファームズ千代田</t>
        </is>
      </c>
      <c r="C52" s="12" t="inlineStr">
        <is>
          <t>https://f-chiyoda.com/</t>
        </is>
      </c>
      <c r="D52" s="18" t="inlineStr">
        <is>
          <t>北海道上川郡美瑛町春日台4221</t>
        </is>
      </c>
      <c r="E52" s="18" t="inlineStr">
        <is>
          <t>0166-92-7015</t>
        </is>
      </c>
      <c r="F52" s="9" t="inlineStr">
        <is>
          <t>びえい和牛生産・ふれあい牧場</t>
        </is>
      </c>
      <c r="G52" s="9" t="inlineStr">
        <is>
          <t>畜産・観光の多角化による労働力分散</t>
        </is>
      </c>
      <c r="H52" s="9" t="inlineStr">
        <is>
          <t>各部門へ柔軟に配置できる特定技能人材</t>
        </is>
      </c>
      <c r="I52" s="9" t="inlineStr">
        <is>
          <t>経営陣</t>
        </is>
      </c>
      <c r="J52" s="9" t="inlineStr">
        <is>
          <t>代表</t>
        </is>
      </c>
      <c r="K52" s="9" t="inlineStr">
        <is>
          <t>不明</t>
        </is>
      </c>
      <c r="L52" s="9" t="inlineStr">
        <is>
          <t>未確認</t>
        </is>
      </c>
      <c r="Q52" s="9" t="inlineStr">
        <is>
          <t>未開拓</t>
        </is>
      </c>
      <c r="R52" s="9" t="inlineStr">
        <is>
          <t>ターゲット</t>
        </is>
      </c>
      <c r="S52" s="9" t="inlineStr">
        <is>
          <t>リストアップ</t>
        </is>
      </c>
      <c r="AG52" s="9" t="inlineStr">
        <is>
          <t>営業推進部</t>
        </is>
      </c>
      <c r="AH52" s="9" t="inlineStr">
        <is>
          <t>武田 悦郎</t>
        </is>
      </c>
      <c r="AN52" s="9" t="inlineStr">
        <is>
          <t>未定</t>
        </is>
      </c>
      <c r="AQ52">
        <f>COUNTIFS(加電履歴!$F:$F,B52,加電履歴!$E:$E,"畜種農業")</f>
        <v/>
      </c>
      <c r="AR52" s="10">
        <f>IFERROR(IF(COUNTIFS(加電履歴!$F:$F,B52,加電履歴!$E:$E,"畜種農業")=0,"",MAXIFS(加電履歴!$B:$B,加電履歴!$F:$F,B52,加電履歴!$E:$E,"畜種農業")),"")</f>
        <v/>
      </c>
      <c r="AS52">
        <f>IFERROR(IF(COUNTIFS(加電履歴!$F:$F,B52,加電履歴!$E:$E,"畜種農業")=0,"",INDEX(加電履歴!$I:$I,MATCH(1,(加電履歴!$F:$F=B52)*(加電履歴!$E:$E="畜種農業")*(加電履歴!$B:$B=MAXIFS(加電履歴!$B:$B,加電履歴!$F:$F,B52,加電履歴!$E:$E,"畜種農業")),0))),"")</f>
        <v/>
      </c>
    </row>
    <row r="53">
      <c r="A53" s="9" t="inlineStr">
        <is>
          <t>道北</t>
        </is>
      </c>
      <c r="B53" s="18" t="inlineStr">
        <is>
          <t>富良野牧場</t>
        </is>
      </c>
      <c r="C53" s="12" t="inlineStr">
        <is>
          <t>https://furanobokujo.com/</t>
        </is>
      </c>
      <c r="D53" s="18" t="inlineStr">
        <is>
          <t>北海道富良野市東鳥沼1 (〒076-0041)</t>
        </is>
      </c>
      <c r="E53" s="18" t="inlineStr">
        <is>
          <t>0167-22-1543</t>
        </is>
      </c>
      <c r="F53" s="9" t="inlineStr">
        <is>
          <t>養豚・ハムソーセージ製造</t>
        </is>
      </c>
      <c r="G53" s="9" t="inlineStr">
        <is>
          <t>製法維持と加工ラインの労働力確保</t>
        </is>
      </c>
      <c r="H53" s="9" t="inlineStr">
        <is>
          <t>製造加工部門で即戦力となる人材の配置</t>
        </is>
      </c>
      <c r="I53" s="9" t="inlineStr">
        <is>
          <t>経営陣</t>
        </is>
      </c>
      <c r="J53" s="9" t="inlineStr">
        <is>
          <t>代表</t>
        </is>
      </c>
      <c r="K53" s="9" t="inlineStr">
        <is>
          <t>不明</t>
        </is>
      </c>
      <c r="L53" s="9" t="inlineStr">
        <is>
          <t>未確認</t>
        </is>
      </c>
      <c r="Q53" s="9" t="inlineStr">
        <is>
          <t>未開拓</t>
        </is>
      </c>
      <c r="R53" s="9" t="inlineStr">
        <is>
          <t>ターゲット</t>
        </is>
      </c>
      <c r="S53" s="9" t="inlineStr">
        <is>
          <t>リストアップ</t>
        </is>
      </c>
      <c r="AG53" s="9" t="inlineStr">
        <is>
          <t>営業推進部</t>
        </is>
      </c>
      <c r="AH53" s="9" t="inlineStr">
        <is>
          <t>武田 悦郎</t>
        </is>
      </c>
      <c r="AN53" s="9" t="inlineStr">
        <is>
          <t>未定</t>
        </is>
      </c>
      <c r="AQ53">
        <f>COUNTIFS(加電履歴!$F:$F,B53,加電履歴!$E:$E,"畜種農業")</f>
        <v/>
      </c>
      <c r="AR53" s="10">
        <f>IFERROR(IF(COUNTIFS(加電履歴!$F:$F,B53,加電履歴!$E:$E,"畜種農業")=0,"",MAXIFS(加電履歴!$B:$B,加電履歴!$F:$F,B53,加電履歴!$E:$E,"畜種農業")),"")</f>
        <v/>
      </c>
      <c r="AS53">
        <f>IFERROR(IF(COUNTIFS(加電履歴!$F:$F,B53,加電履歴!$E:$E,"畜種農業")=0,"",INDEX(加電履歴!$I:$I,MATCH(1,(加電履歴!$F:$F=B53)*(加電履歴!$E:$E="畜種農業")*(加電履歴!$B:$B=MAXIFS(加電履歴!$B:$B,加電履歴!$F:$F,B53,加電履歴!$E:$E,"畜種農業")),0))),"")</f>
        <v/>
      </c>
    </row>
    <row r="54">
      <c r="A54" s="9" t="inlineStr">
        <is>
          <t>道北</t>
        </is>
      </c>
      <c r="B54" s="18" t="inlineStr">
        <is>
          <t>株式会社サロベツファーム</t>
        </is>
      </c>
      <c r="C54" s="14" t="inlineStr"/>
      <c r="D54" s="18" t="inlineStr">
        <is>
          <t>北海道天塩郡豊富町字上サロベツ796番地13</t>
        </is>
      </c>
      <c r="E54" s="18" t="inlineStr">
        <is>
          <t>0162-84-2377</t>
        </is>
      </c>
      <c r="F54" s="9" t="inlineStr">
        <is>
          <t>食肉加工/独自ブランド</t>
        </is>
      </c>
      <c r="G54" s="9" t="inlineStr">
        <is>
          <t>加工品の生産量維持に伴う人員確保</t>
        </is>
      </c>
      <c r="H54" s="9" t="inlineStr">
        <is>
          <t>採用コストゼロで加工現場の即戦力を提供</t>
        </is>
      </c>
      <c r="I54" s="9" t="inlineStr">
        <is>
          <t>経営陣</t>
        </is>
      </c>
      <c r="J54" s="9" t="inlineStr">
        <is>
          <t>代表</t>
        </is>
      </c>
      <c r="K54" s="9" t="inlineStr">
        <is>
          <t>不明</t>
        </is>
      </c>
      <c r="L54" s="9" t="inlineStr">
        <is>
          <t>未確認</t>
        </is>
      </c>
      <c r="Q54" s="9" t="inlineStr">
        <is>
          <t>未開拓</t>
        </is>
      </c>
      <c r="R54" s="9" t="inlineStr">
        <is>
          <t>ターゲット</t>
        </is>
      </c>
      <c r="S54" s="9" t="inlineStr">
        <is>
          <t>リストアップ</t>
        </is>
      </c>
      <c r="AG54" s="9" t="inlineStr">
        <is>
          <t>営業推進部</t>
        </is>
      </c>
      <c r="AH54" s="9" t="inlineStr">
        <is>
          <t>武田 悦郎</t>
        </is>
      </c>
      <c r="AN54" s="9" t="inlineStr">
        <is>
          <t>未定</t>
        </is>
      </c>
      <c r="AQ54">
        <f>COUNTIFS(加電履歴!$F:$F,B54,加電履歴!$E:$E,"畜種農業")</f>
        <v/>
      </c>
      <c r="AR54" s="10">
        <f>IFERROR(IF(COUNTIFS(加電履歴!$F:$F,B54,加電履歴!$E:$E,"畜種農業")=0,"",MAXIFS(加電履歴!$B:$B,加電履歴!$F:$F,B54,加電履歴!$E:$E,"畜種農業")),"")</f>
        <v/>
      </c>
      <c r="AS54">
        <f>IFERROR(IF(COUNTIFS(加電履歴!$F:$F,B54,加電履歴!$E:$E,"畜種農業")=0,"",INDEX(加電履歴!$I:$I,MATCH(1,(加電履歴!$F:$F=B54)*(加電履歴!$E:$E="畜種農業")*(加電履歴!$B:$B=MAXIFS(加電履歴!$B:$B,加電履歴!$F:$F,B54,加電履歴!$E:$E,"畜種農業")),0))),"")</f>
        <v/>
      </c>
    </row>
    <row r="55">
      <c r="A55" s="9" t="inlineStr">
        <is>
          <t>道北</t>
        </is>
      </c>
      <c r="B55" s="18" t="inlineStr">
        <is>
          <t>株式会社豊富牛乳公社</t>
        </is>
      </c>
      <c r="C55" s="12" t="inlineStr">
        <is>
          <t>https://www.toyotomi-milk.co.jp/</t>
        </is>
      </c>
      <c r="D55" s="18" t="inlineStr">
        <is>
          <t>北海道天塩郡豊富町上サロベツ1184 (〒098-4100)</t>
        </is>
      </c>
      <c r="E55" s="18" t="inlineStr">
        <is>
          <t>0162-82-2576</t>
        </is>
      </c>
      <c r="F55" s="9" t="inlineStr">
        <is>
          <t>豊富牛乳の製造加工</t>
        </is>
      </c>
      <c r="G55" s="9" t="inlineStr">
        <is>
          <t>製造ラインにおける安定した人員配置</t>
        </is>
      </c>
      <c r="H55" s="9" t="inlineStr">
        <is>
          <t>工場内の製造を担う定住型人材の提案</t>
        </is>
      </c>
      <c r="I55" s="9" t="inlineStr">
        <is>
          <t>管理部</t>
        </is>
      </c>
      <c r="J55" s="9" t="inlineStr">
        <is>
          <t>工場長</t>
        </is>
      </c>
      <c r="K55" s="9" t="inlineStr">
        <is>
          <t>不明</t>
        </is>
      </c>
      <c r="L55" s="9" t="inlineStr">
        <is>
          <t>未確認</t>
        </is>
      </c>
      <c r="Q55" s="9" t="inlineStr">
        <is>
          <t>未開拓</t>
        </is>
      </c>
      <c r="R55" s="9" t="inlineStr">
        <is>
          <t>ターゲット</t>
        </is>
      </c>
      <c r="S55" s="9" t="inlineStr">
        <is>
          <t>リストアップ</t>
        </is>
      </c>
      <c r="AG55" s="9" t="inlineStr">
        <is>
          <t>営業推進部</t>
        </is>
      </c>
      <c r="AH55" s="9" t="inlineStr">
        <is>
          <t>武田 悦郎</t>
        </is>
      </c>
      <c r="AN55" s="9" t="inlineStr">
        <is>
          <t>未定</t>
        </is>
      </c>
      <c r="AQ55">
        <f>COUNTIFS(加電履歴!$F:$F,B55,加電履歴!$E:$E,"畜種農業")</f>
        <v/>
      </c>
      <c r="AR55" s="10">
        <f>IFERROR(IF(COUNTIFS(加電履歴!$F:$F,B55,加電履歴!$E:$E,"畜種農業")=0,"",MAXIFS(加電履歴!$B:$B,加電履歴!$F:$F,B55,加電履歴!$E:$E,"畜種農業")),"")</f>
        <v/>
      </c>
      <c r="AS55">
        <f>IFERROR(IF(COUNTIFS(加電履歴!$F:$F,B55,加電履歴!$E:$E,"畜種農業")=0,"",INDEX(加電履歴!$I:$I,MATCH(1,(加電履歴!$F:$F=B55)*(加電履歴!$E:$E="畜種農業")*(加電履歴!$B:$B=MAXIFS(加電履歴!$B:$B,加電履歴!$F:$F,B55,加電履歴!$E:$E,"畜種農業")),0))),"")</f>
        <v/>
      </c>
    </row>
    <row r="56">
      <c r="A56" s="9" t="inlineStr">
        <is>
          <t>道北</t>
        </is>
      </c>
      <c r="B56" s="18" t="inlineStr">
        <is>
          <t>日本ハム北海道ファクトリー株式会社 旭川工場</t>
        </is>
      </c>
      <c r="C56" s="12" t="inlineStr">
        <is>
          <t>https://www.nipponham-hokkaidofa.co.jp/</t>
        </is>
      </c>
      <c r="D56" s="18" t="inlineStr">
        <is>
          <t>北海道旭川市工業団地1条3丁目1番37号 (〒078-8271)</t>
        </is>
      </c>
      <c r="E56" s="18" t="inlineStr">
        <is>
          <t>0166-76-1186</t>
        </is>
      </c>
      <c r="F56" s="9" t="inlineStr">
        <is>
          <t>食肉加工（美ノ国等）</t>
        </is>
      </c>
      <c r="G56" s="9" t="inlineStr">
        <is>
          <t>年間5,000トン生産体制を支える労働力</t>
        </is>
      </c>
      <c r="H56" s="9" t="inlineStr">
        <is>
          <t>大規模工場における特定技能の通年雇用</t>
        </is>
      </c>
      <c r="I56" s="9" t="inlineStr">
        <is>
          <t>総務部</t>
        </is>
      </c>
      <c r="J56" s="9" t="inlineStr">
        <is>
          <t>工場長</t>
        </is>
      </c>
      <c r="K56" s="9" t="inlineStr">
        <is>
          <t>不明</t>
        </is>
      </c>
      <c r="L56" s="9" t="inlineStr">
        <is>
          <t>未確認</t>
        </is>
      </c>
      <c r="Q56" s="9" t="inlineStr">
        <is>
          <t>未開拓</t>
        </is>
      </c>
      <c r="R56" s="9" t="inlineStr">
        <is>
          <t>ターゲット</t>
        </is>
      </c>
      <c r="S56" s="9" t="inlineStr">
        <is>
          <t>リストアップ</t>
        </is>
      </c>
      <c r="AG56" s="9" t="inlineStr">
        <is>
          <t>営業推進部</t>
        </is>
      </c>
      <c r="AH56" s="9" t="inlineStr">
        <is>
          <t>武田 悦郎</t>
        </is>
      </c>
      <c r="AN56" s="9" t="inlineStr">
        <is>
          <t>未定</t>
        </is>
      </c>
      <c r="AQ56">
        <f>COUNTIFS(加電履歴!$F:$F,B56,加電履歴!$E:$E,"畜種農業")</f>
        <v/>
      </c>
      <c r="AR56" s="10">
        <f>IFERROR(IF(COUNTIFS(加電履歴!$F:$F,B56,加電履歴!$E:$E,"畜種農業")=0,"",MAXIFS(加電履歴!$B:$B,加電履歴!$F:$F,B56,加電履歴!$E:$E,"畜種農業")),"")</f>
        <v/>
      </c>
      <c r="AS56">
        <f>IFERROR(IF(COUNTIFS(加電履歴!$F:$F,B56,加電履歴!$E:$E,"畜種農業")=0,"",INDEX(加電履歴!$I:$I,MATCH(1,(加電履歴!$F:$F=B56)*(加電履歴!$E:$E="畜種農業")*(加電履歴!$B:$B=MAXIFS(加電履歴!$B:$B,加電履歴!$F:$F,B56,加電履歴!$E:$E,"畜種農業")),0))),"")</f>
        <v/>
      </c>
    </row>
    <row r="57">
      <c r="A57" s="9" t="inlineStr">
        <is>
          <t>道北</t>
        </is>
      </c>
      <c r="B57" s="18" t="inlineStr">
        <is>
          <t>東宗谷農業協同組合 猿払支所/畜産事業所</t>
        </is>
      </c>
      <c r="C57" s="12" t="inlineStr">
        <is>
          <t>https://www.ja-esoya.com/</t>
        </is>
      </c>
      <c r="D57" s="18" t="inlineStr">
        <is>
          <t>北海道宗谷郡猿払村鬼志別西町51</t>
        </is>
      </c>
      <c r="E57" s="18" t="inlineStr">
        <is>
          <t>01635-2-3312 (猿払支所代表)</t>
        </is>
      </c>
      <c r="F57" s="9" t="inlineStr">
        <is>
          <t>JA運営事業所・公共牧場</t>
        </is>
      </c>
      <c r="G57" s="9" t="inlineStr">
        <is>
          <t>広大な牧草地の維持・管理</t>
        </is>
      </c>
      <c r="H57" s="9" t="inlineStr">
        <is>
          <t>公共施設の安定稼働を即戦力で支援</t>
        </is>
      </c>
      <c r="I57" s="9" t="inlineStr">
        <is>
          <t>畜産部</t>
        </is>
      </c>
      <c r="J57" s="9" t="inlineStr">
        <is>
          <t>管理者</t>
        </is>
      </c>
      <c r="K57" s="9" t="inlineStr">
        <is>
          <t>不明</t>
        </is>
      </c>
      <c r="L57" s="9" t="inlineStr">
        <is>
          <t>未確認</t>
        </is>
      </c>
      <c r="Q57" s="9" t="inlineStr">
        <is>
          <t>未開拓</t>
        </is>
      </c>
      <c r="R57" s="9" t="inlineStr">
        <is>
          <t>ターゲット</t>
        </is>
      </c>
      <c r="S57" s="9" t="inlineStr">
        <is>
          <t>リストアップ</t>
        </is>
      </c>
      <c r="AG57" s="9" t="inlineStr">
        <is>
          <t>営業推進部</t>
        </is>
      </c>
      <c r="AH57" s="9" t="inlineStr">
        <is>
          <t>武田 悦郎</t>
        </is>
      </c>
      <c r="AN57" s="9" t="inlineStr">
        <is>
          <t>未定</t>
        </is>
      </c>
      <c r="AQ57">
        <f>COUNTIFS(加電履歴!$F:$F,B57,加電履歴!$E:$E,"畜種農業")</f>
        <v/>
      </c>
      <c r="AR57" s="10">
        <f>IFERROR(IF(COUNTIFS(加電履歴!$F:$F,B57,加電履歴!$E:$E,"畜種農業")=0,"",MAXIFS(加電履歴!$B:$B,加電履歴!$F:$F,B57,加電履歴!$E:$E,"畜種農業")),"")</f>
        <v/>
      </c>
      <c r="AS57">
        <f>IFERROR(IF(COUNTIFS(加電履歴!$F:$F,B57,加電履歴!$E:$E,"畜種農業")=0,"",INDEX(加電履歴!$I:$I,MATCH(1,(加電履歴!$F:$F=B57)*(加電履歴!$E:$E="畜種農業")*(加電履歴!$B:$B=MAXIFS(加電履歴!$B:$B,加電履歴!$F:$F,B57,加電履歴!$E:$E,"畜種農業")),0))),"")</f>
        <v/>
      </c>
    </row>
    <row r="58">
      <c r="A58" s="9" t="inlineStr">
        <is>
          <t>道北</t>
        </is>
      </c>
      <c r="B58" s="18" t="inlineStr">
        <is>
          <t>旭川市営牧場 (嵐山牧場)</t>
        </is>
      </c>
      <c r="C58" s="12" t="inlineStr">
        <is>
          <t>https://www.city.asahikawa.hokkaido.jp/500/501/504/p005231.html</t>
        </is>
      </c>
      <c r="D58" s="18" t="inlineStr">
        <is>
          <t>北海道旭川市江丹別町中央</t>
        </is>
      </c>
      <c r="E58" s="18" t="inlineStr">
        <is>
          <t>0166-73-2451 (現地) / 0166-73-2036 (指定管理者:江丹別産業開発) / 0166-25-7470 (市農政部)</t>
        </is>
      </c>
      <c r="F58" s="9" t="inlineStr">
        <is>
          <t>市営の公共牧場</t>
        </is>
      </c>
      <c r="G58" s="9" t="inlineStr">
        <is>
          <t>公共施設の放牧管理</t>
        </is>
      </c>
      <c r="H58" s="9" t="inlineStr">
        <is>
          <t>施設の安定稼働を即戦力で支援</t>
        </is>
      </c>
      <c r="I58" s="9" t="inlineStr">
        <is>
          <t>農林部</t>
        </is>
      </c>
      <c r="J58" s="9" t="inlineStr">
        <is>
          <t>管理者</t>
        </is>
      </c>
      <c r="K58" s="9" t="inlineStr">
        <is>
          <t>不明</t>
        </is>
      </c>
      <c r="L58" s="9" t="inlineStr">
        <is>
          <t>未確認</t>
        </is>
      </c>
      <c r="Q58" s="9" t="inlineStr">
        <is>
          <t>未開拓</t>
        </is>
      </c>
      <c r="R58" s="9" t="inlineStr">
        <is>
          <t>ターゲット</t>
        </is>
      </c>
      <c r="S58" s="9" t="inlineStr">
        <is>
          <t>リストアップ</t>
        </is>
      </c>
      <c r="AG58" s="9" t="inlineStr">
        <is>
          <t>営業推進部</t>
        </is>
      </c>
      <c r="AH58" s="9" t="inlineStr">
        <is>
          <t>武田 悦郎</t>
        </is>
      </c>
      <c r="AN58" s="9" t="inlineStr">
        <is>
          <t>未定</t>
        </is>
      </c>
      <c r="AQ58">
        <f>COUNTIFS(加電履歴!$F:$F,B58,加電履歴!$E:$E,"畜種農業")</f>
        <v/>
      </c>
      <c r="AR58" s="10">
        <f>IFERROR(IF(COUNTIFS(加電履歴!$F:$F,B58,加電履歴!$E:$E,"畜種農業")=0,"",MAXIFS(加電履歴!$B:$B,加電履歴!$F:$F,B58,加電履歴!$E:$E,"畜種農業")),"")</f>
        <v/>
      </c>
      <c r="AS58">
        <f>IFERROR(IF(COUNTIFS(加電履歴!$F:$F,B58,加電履歴!$E:$E,"畜種農業")=0,"",INDEX(加電履歴!$I:$I,MATCH(1,(加電履歴!$F:$F=B58)*(加電履歴!$E:$E="畜種農業")*(加電履歴!$B:$B=MAXIFS(加電履歴!$B:$B,加電履歴!$F:$F,B58,加電履歴!$E:$E,"畜種農業")),0))),"")</f>
        <v/>
      </c>
    </row>
    <row r="59">
      <c r="A59" s="9" t="inlineStr">
        <is>
          <t>道北</t>
        </is>
      </c>
      <c r="B59" s="18" t="inlineStr">
        <is>
          <t>士別市営天塩川牧場</t>
        </is>
      </c>
      <c r="C59" s="14" t="inlineStr"/>
      <c r="D59" s="18" t="inlineStr">
        <is>
          <t>北海道士別市 ※詳細要確認、士別市農業振興課が窓口</t>
        </is>
      </c>
      <c r="E59" s="18" t="inlineStr">
        <is>
          <t>0165-26-7030 (士別市農業振興課)</t>
        </is>
      </c>
      <c r="F59" s="9" t="inlineStr">
        <is>
          <t>市営の育成牧場</t>
        </is>
      </c>
      <c r="G59" s="9" t="inlineStr">
        <is>
          <t>預託牛の体調管理</t>
        </is>
      </c>
      <c r="H59" s="9" t="inlineStr">
        <is>
          <t>育成牛の飼養管理をサポート</t>
        </is>
      </c>
      <c r="I59" s="9" t="inlineStr">
        <is>
          <t>農林課</t>
        </is>
      </c>
      <c r="J59" s="9" t="inlineStr">
        <is>
          <t>管理者</t>
        </is>
      </c>
      <c r="K59" s="9" t="inlineStr">
        <is>
          <t>不明</t>
        </is>
      </c>
      <c r="L59" s="9" t="inlineStr">
        <is>
          <t>未確認</t>
        </is>
      </c>
      <c r="Q59" s="9" t="inlineStr">
        <is>
          <t>未開拓</t>
        </is>
      </c>
      <c r="R59" s="9" t="inlineStr">
        <is>
          <t>ターゲット</t>
        </is>
      </c>
      <c r="S59" s="9" t="inlineStr">
        <is>
          <t>リストアップ</t>
        </is>
      </c>
      <c r="AG59" s="9" t="inlineStr">
        <is>
          <t>営業推進部</t>
        </is>
      </c>
      <c r="AH59" s="9" t="inlineStr">
        <is>
          <t>武田 悦郎</t>
        </is>
      </c>
      <c r="AN59" s="9" t="inlineStr">
        <is>
          <t>未定</t>
        </is>
      </c>
      <c r="AQ59">
        <f>COUNTIFS(加電履歴!$F:$F,B59,加電履歴!$E:$E,"畜種農業")</f>
        <v/>
      </c>
      <c r="AR59" s="10">
        <f>IFERROR(IF(COUNTIFS(加電履歴!$F:$F,B59,加電履歴!$E:$E,"畜種農業")=0,"",MAXIFS(加電履歴!$B:$B,加電履歴!$F:$F,B59,加電履歴!$E:$E,"畜種農業")),"")</f>
        <v/>
      </c>
      <c r="AS59">
        <f>IFERROR(IF(COUNTIFS(加電履歴!$F:$F,B59,加電履歴!$E:$E,"畜種農業")=0,"",INDEX(加電履歴!$I:$I,MATCH(1,(加電履歴!$F:$F=B59)*(加電履歴!$E:$E="畜種農業")*(加電履歴!$B:$B=MAXIFS(加電履歴!$B:$B,加電履歴!$F:$F,B59,加電履歴!$E:$E,"畜種農業")),0))),"")</f>
        <v/>
      </c>
    </row>
    <row r="60">
      <c r="A60" s="9" t="inlineStr">
        <is>
          <t>道北</t>
        </is>
      </c>
      <c r="B60" s="18" t="inlineStr">
        <is>
          <t>豊富町大規模草地育成牧場 (町営牧場)</t>
        </is>
      </c>
      <c r="C60" s="14" t="inlineStr"/>
      <c r="D60" s="18" t="inlineStr">
        <is>
          <t>北海道天塩郡豊富町上福永</t>
        </is>
      </c>
      <c r="E60" s="18" t="inlineStr">
        <is>
          <t>0162-82-2781</t>
        </is>
      </c>
      <c r="F60" s="9" t="inlineStr">
        <is>
          <t>町営の公共牧場</t>
        </is>
      </c>
      <c r="G60" s="9" t="inlineStr">
        <is>
          <t>大規模な牧草地の維持</t>
        </is>
      </c>
      <c r="H60" s="9" t="inlineStr">
        <is>
          <t>採用コスト不要の即戦力人材</t>
        </is>
      </c>
      <c r="I60" s="9" t="inlineStr">
        <is>
          <t>農林水産課</t>
        </is>
      </c>
      <c r="J60" s="9" t="inlineStr">
        <is>
          <t>管理者</t>
        </is>
      </c>
      <c r="K60" s="9" t="inlineStr">
        <is>
          <t>不明</t>
        </is>
      </c>
      <c r="L60" s="9" t="inlineStr">
        <is>
          <t>未確認</t>
        </is>
      </c>
      <c r="Q60" s="9" t="inlineStr">
        <is>
          <t>未開拓</t>
        </is>
      </c>
      <c r="R60" s="9" t="inlineStr">
        <is>
          <t>ターゲット</t>
        </is>
      </c>
      <c r="S60" s="9" t="inlineStr">
        <is>
          <t>リストアップ</t>
        </is>
      </c>
      <c r="AG60" s="9" t="inlineStr">
        <is>
          <t>営業推進部</t>
        </is>
      </c>
      <c r="AH60" s="9" t="inlineStr">
        <is>
          <t>武田 悦郎</t>
        </is>
      </c>
      <c r="AN60" s="9" t="inlineStr">
        <is>
          <t>未定</t>
        </is>
      </c>
      <c r="AQ60">
        <f>COUNTIFS(加電履歴!$F:$F,B60,加電履歴!$E:$E,"畜種農業")</f>
        <v/>
      </c>
      <c r="AR60" s="10">
        <f>IFERROR(IF(COUNTIFS(加電履歴!$F:$F,B60,加電履歴!$E:$E,"畜種農業")=0,"",MAXIFS(加電履歴!$B:$B,加電履歴!$F:$F,B60,加電履歴!$E:$E,"畜種農業")),"")</f>
        <v/>
      </c>
      <c r="AS60">
        <f>IFERROR(IF(COUNTIFS(加電履歴!$F:$F,B60,加電履歴!$E:$E,"畜種農業")=0,"",INDEX(加電履歴!$I:$I,MATCH(1,(加電履歴!$F:$F=B60)*(加電履歴!$E:$E="畜種農業")*(加電履歴!$B:$B=MAXIFS(加電履歴!$B:$B,加電履歴!$F:$F,B60,加電履歴!$E:$E,"畜種農業")),0))),"")</f>
        <v/>
      </c>
    </row>
    <row r="61">
      <c r="A61" s="9" t="inlineStr">
        <is>
          <t>道北</t>
        </is>
      </c>
      <c r="B61" s="18" t="inlineStr">
        <is>
          <t>猿払村営牧場</t>
        </is>
      </c>
      <c r="C61" s="14" t="inlineStr"/>
      <c r="D61" s="18" t="inlineStr">
        <is>
          <t>北海道宗谷郡猿払村 (国道238号沿い)</t>
        </is>
      </c>
      <c r="E61" s="18" t="inlineStr">
        <is>
          <t>01635-2-3134 (猿払村産業課)</t>
        </is>
      </c>
      <c r="F61" s="9" t="inlineStr">
        <is>
          <t>村営の公共牧場</t>
        </is>
      </c>
      <c r="G61" s="9" t="inlineStr">
        <is>
          <t>酪農家からの育成牛管理</t>
        </is>
      </c>
      <c r="H61" s="9" t="inlineStr">
        <is>
          <t>育成牛管理における人員確保</t>
        </is>
      </c>
      <c r="I61" s="9" t="inlineStr">
        <is>
          <t>農林課</t>
        </is>
      </c>
      <c r="J61" s="9" t="inlineStr">
        <is>
          <t>管理者</t>
        </is>
      </c>
      <c r="K61" s="9" t="inlineStr">
        <is>
          <t>不明</t>
        </is>
      </c>
      <c r="L61" s="9" t="inlineStr">
        <is>
          <t>未確認</t>
        </is>
      </c>
      <c r="Q61" s="9" t="inlineStr">
        <is>
          <t>未開拓</t>
        </is>
      </c>
      <c r="R61" s="9" t="inlineStr">
        <is>
          <t>ターゲット</t>
        </is>
      </c>
      <c r="S61" s="9" t="inlineStr">
        <is>
          <t>リストアップ</t>
        </is>
      </c>
      <c r="AG61" s="9" t="inlineStr">
        <is>
          <t>営業推進部</t>
        </is>
      </c>
      <c r="AH61" s="9" t="inlineStr">
        <is>
          <t>武田 悦郎</t>
        </is>
      </c>
      <c r="AN61" s="9" t="inlineStr">
        <is>
          <t>未定</t>
        </is>
      </c>
      <c r="AQ61">
        <f>COUNTIFS(加電履歴!$F:$F,B61,加電履歴!$E:$E,"畜種農業")</f>
        <v/>
      </c>
      <c r="AR61" s="10">
        <f>IFERROR(IF(COUNTIFS(加電履歴!$F:$F,B61,加電履歴!$E:$E,"畜種農業")=0,"",MAXIFS(加電履歴!$B:$B,加電履歴!$F:$F,B61,加電履歴!$E:$E,"畜種農業")),"")</f>
        <v/>
      </c>
      <c r="AS61">
        <f>IFERROR(IF(COUNTIFS(加電履歴!$F:$F,B61,加電履歴!$E:$E,"畜種農業")=0,"",INDEX(加電履歴!$I:$I,MATCH(1,(加電履歴!$F:$F=B61)*(加電履歴!$E:$E="畜種農業")*(加電履歴!$B:$B=MAXIFS(加電履歴!$B:$B,加電履歴!$F:$F,B61,加電履歴!$E:$E,"畜種農業")),0))),"")</f>
        <v/>
      </c>
    </row>
    <row r="62">
      <c r="A62" s="9" t="inlineStr">
        <is>
          <t>道北</t>
        </is>
      </c>
      <c r="B62" s="18" t="inlineStr">
        <is>
          <t>名寄市営牧場</t>
        </is>
      </c>
      <c r="C62" s="14" t="inlineStr"/>
      <c r="D62" s="18" t="inlineStr">
        <is>
          <t>北海道名寄市 ※施設の存在要確認</t>
        </is>
      </c>
      <c r="E62" s="18" t="inlineStr">
        <is>
          <t>01654-3-2111 (名寄市役所代表) ※要確認</t>
        </is>
      </c>
      <c r="F62" s="9" t="inlineStr">
        <is>
          <t>市営の公共牧場</t>
        </is>
      </c>
      <c r="G62" s="9" t="inlineStr">
        <is>
          <t>施設の労働力確保</t>
        </is>
      </c>
      <c r="H62" s="9" t="inlineStr">
        <is>
          <t>施設管理を即戦力として担う人材提供</t>
        </is>
      </c>
      <c r="I62" s="9" t="inlineStr">
        <is>
          <t>農務課</t>
        </is>
      </c>
      <c r="J62" s="9" t="inlineStr">
        <is>
          <t>管理者</t>
        </is>
      </c>
      <c r="K62" s="9" t="inlineStr">
        <is>
          <t>不明</t>
        </is>
      </c>
      <c r="L62" s="9" t="inlineStr">
        <is>
          <t>未確認</t>
        </is>
      </c>
      <c r="Q62" s="9" t="inlineStr">
        <is>
          <t>未開拓</t>
        </is>
      </c>
      <c r="R62" s="9" t="inlineStr">
        <is>
          <t>ターゲット</t>
        </is>
      </c>
      <c r="S62" s="9" t="inlineStr">
        <is>
          <t>リストアップ</t>
        </is>
      </c>
      <c r="AG62" s="9" t="inlineStr">
        <is>
          <t>営業推進部</t>
        </is>
      </c>
      <c r="AH62" s="9" t="inlineStr">
        <is>
          <t>武田 悦郎</t>
        </is>
      </c>
      <c r="AN62" s="9" t="inlineStr">
        <is>
          <t>未定</t>
        </is>
      </c>
      <c r="AQ62">
        <f>COUNTIFS(加電履歴!$F:$F,B62,加電履歴!$E:$E,"畜種農業")</f>
        <v/>
      </c>
      <c r="AR62" s="10">
        <f>IFERROR(IF(COUNTIFS(加電履歴!$F:$F,B62,加電履歴!$E:$E,"畜種農業")=0,"",MAXIFS(加電履歴!$B:$B,加電履歴!$F:$F,B62,加電履歴!$E:$E,"畜種農業")),"")</f>
        <v/>
      </c>
      <c r="AS62">
        <f>IFERROR(IF(COUNTIFS(加電履歴!$F:$F,B62,加電履歴!$E:$E,"畜種農業")=0,"",INDEX(加電履歴!$I:$I,MATCH(1,(加電履歴!$F:$F=B62)*(加電履歴!$E:$E="畜種農業")*(加電履歴!$B:$B=MAXIFS(加電履歴!$B:$B,加電履歴!$F:$F,B62,加電履歴!$E:$E,"畜種農業")),0))),"")</f>
        <v/>
      </c>
    </row>
    <row r="63">
      <c r="A63" s="9" t="inlineStr">
        <is>
          <t>道北</t>
        </is>
      </c>
      <c r="B63" s="18" t="inlineStr">
        <is>
          <t>剣淵町営牧場</t>
        </is>
      </c>
      <c r="C63" s="14" t="inlineStr"/>
      <c r="D63" s="18" t="inlineStr">
        <is>
          <t>北海道上川郡剣淵町 ※詳細要確認</t>
        </is>
      </c>
      <c r="E63" s="18" t="inlineStr">
        <is>
          <t>0165-34-2121 (剣淵町役場代表) ※要確認</t>
        </is>
      </c>
      <c r="F63" s="9" t="inlineStr">
        <is>
          <t>町営の公共牧場</t>
        </is>
      </c>
      <c r="G63" s="9" t="inlineStr">
        <is>
          <t>放牧期間中の施設管理</t>
        </is>
      </c>
      <c r="H63" s="9" t="inlineStr">
        <is>
          <t>公共施設の安定稼働支援</t>
        </is>
      </c>
      <c r="I63" s="9" t="inlineStr">
        <is>
          <t>農政課</t>
        </is>
      </c>
      <c r="J63" s="9" t="inlineStr">
        <is>
          <t>管理者</t>
        </is>
      </c>
      <c r="K63" s="9" t="inlineStr">
        <is>
          <t>不明</t>
        </is>
      </c>
      <c r="L63" s="9" t="inlineStr">
        <is>
          <t>未確認</t>
        </is>
      </c>
      <c r="Q63" s="9" t="inlineStr">
        <is>
          <t>未開拓</t>
        </is>
      </c>
      <c r="R63" s="9" t="inlineStr">
        <is>
          <t>ターゲット</t>
        </is>
      </c>
      <c r="S63" s="9" t="inlineStr">
        <is>
          <t>リストアップ</t>
        </is>
      </c>
      <c r="AG63" s="9" t="inlineStr">
        <is>
          <t>営業推進部</t>
        </is>
      </c>
      <c r="AH63" s="9" t="inlineStr">
        <is>
          <t>武田 悦郎</t>
        </is>
      </c>
      <c r="AN63" s="9" t="inlineStr">
        <is>
          <t>未定</t>
        </is>
      </c>
      <c r="AQ63">
        <f>COUNTIFS(加電履歴!$F:$F,B63,加電履歴!$E:$E,"畜種農業")</f>
        <v/>
      </c>
      <c r="AR63" s="10">
        <f>IFERROR(IF(COUNTIFS(加電履歴!$F:$F,B63,加電履歴!$E:$E,"畜種農業")=0,"",MAXIFS(加電履歴!$B:$B,加電履歴!$F:$F,B63,加電履歴!$E:$E,"畜種農業")),"")</f>
        <v/>
      </c>
      <c r="AS63">
        <f>IFERROR(IF(COUNTIFS(加電履歴!$F:$F,B63,加電履歴!$E:$E,"畜種農業")=0,"",INDEX(加電履歴!$I:$I,MATCH(1,(加電履歴!$F:$F=B63)*(加電履歴!$E:$E="畜種農業")*(加電履歴!$B:$B=MAXIFS(加電履歴!$B:$B,加電履歴!$F:$F,B63,加電履歴!$E:$E,"畜種農業")),0))),"")</f>
        <v/>
      </c>
    </row>
    <row r="64">
      <c r="A64" s="9" t="inlineStr">
        <is>
          <t>道北</t>
        </is>
      </c>
      <c r="B64" s="18" t="inlineStr">
        <is>
          <t>天塩町営牧場 / 株式会社天塩町酪農振興公社</t>
        </is>
      </c>
      <c r="C64" s="14" t="inlineStr"/>
      <c r="D64" s="18" t="inlineStr">
        <is>
          <t>北海道天塩郡天塩町新地通6丁目2343 (公社)</t>
        </is>
      </c>
      <c r="E64" s="18" t="inlineStr">
        <is>
          <t>01632-2-1001 ※要確認、酪農振興公社経由</t>
        </is>
      </c>
      <c r="F64" s="9" t="inlineStr">
        <is>
          <t>町営の公共牧場</t>
        </is>
      </c>
      <c r="G64" s="9" t="inlineStr">
        <is>
          <t>広域な牧草地の管理作業</t>
        </is>
      </c>
      <c r="H64" s="9" t="inlineStr">
        <is>
          <t>採用コストゼロで柔軟な即戦力</t>
        </is>
      </c>
      <c r="I64" s="9" t="inlineStr">
        <is>
          <t>農林水産課</t>
        </is>
      </c>
      <c r="J64" s="9" t="inlineStr">
        <is>
          <t>管理者</t>
        </is>
      </c>
      <c r="K64" s="9" t="inlineStr">
        <is>
          <t>不明</t>
        </is>
      </c>
      <c r="L64" s="9" t="inlineStr">
        <is>
          <t>未確認</t>
        </is>
      </c>
      <c r="Q64" s="9" t="inlineStr">
        <is>
          <t>未開拓</t>
        </is>
      </c>
      <c r="R64" s="9" t="inlineStr">
        <is>
          <t>ターゲット</t>
        </is>
      </c>
      <c r="S64" s="9" t="inlineStr">
        <is>
          <t>リストアップ</t>
        </is>
      </c>
      <c r="AG64" s="9" t="inlineStr">
        <is>
          <t>営業推進部</t>
        </is>
      </c>
      <c r="AH64" s="9" t="inlineStr">
        <is>
          <t>武田 悦郎</t>
        </is>
      </c>
      <c r="AN64" s="9" t="inlineStr">
        <is>
          <t>未定</t>
        </is>
      </c>
      <c r="AQ64">
        <f>COUNTIFS(加電履歴!$F:$F,B64,加電履歴!$E:$E,"畜種農業")</f>
        <v/>
      </c>
      <c r="AR64" s="10">
        <f>IFERROR(IF(COUNTIFS(加電履歴!$F:$F,B64,加電履歴!$E:$E,"畜種農業")=0,"",MAXIFS(加電履歴!$B:$B,加電履歴!$F:$F,B64,加電履歴!$E:$E,"畜種農業")),"")</f>
        <v/>
      </c>
      <c r="AS64">
        <f>IFERROR(IF(COUNTIFS(加電履歴!$F:$F,B64,加電履歴!$E:$E,"畜種農業")=0,"",INDEX(加電履歴!$I:$I,MATCH(1,(加電履歴!$F:$F=B64)*(加電履歴!$E:$E="畜種農業")*(加電履歴!$B:$B=MAXIFS(加電履歴!$B:$B,加電履歴!$F:$F,B64,加電履歴!$E:$E,"畜種農業")),0))),"")</f>
        <v/>
      </c>
    </row>
    <row r="65">
      <c r="A65" s="9" t="inlineStr">
        <is>
          <t>道北</t>
        </is>
      </c>
      <c r="B65" s="18" t="inlineStr">
        <is>
          <t>幌延町営牧場 (ほろのべトナカイ観光牧場)</t>
        </is>
      </c>
      <c r="C65" s="12" t="inlineStr">
        <is>
          <t>http://www.tonakai-farm.com/</t>
        </is>
      </c>
      <c r="D65" s="18" t="inlineStr">
        <is>
          <t>北海道天塩郡幌延町字北進398番地1</t>
        </is>
      </c>
      <c r="E65" s="18" t="inlineStr">
        <is>
          <t>01632-5-1115 (役場産業建設課) / 01632-5-2050 (管理棟)</t>
        </is>
      </c>
      <c r="F65" s="9" t="inlineStr">
        <is>
          <t>町営の公共牧場</t>
        </is>
      </c>
      <c r="G65" s="9" t="inlineStr">
        <is>
          <t>安定した育成環境の維持</t>
        </is>
      </c>
      <c r="H65" s="9" t="inlineStr">
        <is>
          <t>即戦力を配置しオペレーション実現</t>
        </is>
      </c>
      <c r="I65" s="9" t="inlineStr">
        <is>
          <t>産業振興課</t>
        </is>
      </c>
      <c r="J65" s="9" t="inlineStr">
        <is>
          <t>管理者</t>
        </is>
      </c>
      <c r="K65" s="9" t="inlineStr">
        <is>
          <t>不明</t>
        </is>
      </c>
      <c r="L65" s="9" t="inlineStr">
        <is>
          <t>未確認</t>
        </is>
      </c>
      <c r="Q65" s="9" t="inlineStr">
        <is>
          <t>未開拓</t>
        </is>
      </c>
      <c r="R65" s="9" t="inlineStr">
        <is>
          <t>ターゲット</t>
        </is>
      </c>
      <c r="S65" s="9" t="inlineStr">
        <is>
          <t>リストアップ</t>
        </is>
      </c>
      <c r="AG65" s="9" t="inlineStr">
        <is>
          <t>営業推進部</t>
        </is>
      </c>
      <c r="AH65" s="9" t="inlineStr">
        <is>
          <t>武田 悦郎</t>
        </is>
      </c>
      <c r="AN65" s="9" t="inlineStr">
        <is>
          <t>未定</t>
        </is>
      </c>
      <c r="AQ65">
        <f>COUNTIFS(加電履歴!$F:$F,B65,加電履歴!$E:$E,"畜種農業")</f>
        <v/>
      </c>
      <c r="AR65" s="10">
        <f>IFERROR(IF(COUNTIFS(加電履歴!$F:$F,B65,加電履歴!$E:$E,"畜種農業")=0,"",MAXIFS(加電履歴!$B:$B,加電履歴!$F:$F,B65,加電履歴!$E:$E,"畜種農業")),"")</f>
        <v/>
      </c>
      <c r="AS65">
        <f>IFERROR(IF(COUNTIFS(加電履歴!$F:$F,B65,加電履歴!$E:$E,"畜種農業")=0,"",INDEX(加電履歴!$I:$I,MATCH(1,(加電履歴!$F:$F=B65)*(加電履歴!$E:$E="畜種農業")*(加電履歴!$B:$B=MAXIFS(加電履歴!$B:$B,加電履歴!$F:$F,B65,加電履歴!$E:$E,"畜種農業")),0))),"")</f>
        <v/>
      </c>
    </row>
    <row r="66">
      <c r="A66" s="9" t="inlineStr">
        <is>
          <t>道北</t>
        </is>
      </c>
      <c r="B66" s="18" t="inlineStr">
        <is>
          <t>上川町営牧場</t>
        </is>
      </c>
      <c r="C66" s="14" t="inlineStr"/>
      <c r="D66" s="18" t="inlineStr">
        <is>
          <t>北海道上川郡上川町 ※詳細要確認</t>
        </is>
      </c>
      <c r="E66" s="18" t="inlineStr">
        <is>
          <t>01658-2-4051 ※要確認、町役場経由</t>
        </is>
      </c>
      <c r="F66" s="9" t="inlineStr">
        <is>
          <t>町営の公共牧場</t>
        </is>
      </c>
      <c r="G66" s="9" t="inlineStr">
        <is>
          <t>自然環境下での牛群管理</t>
        </is>
      </c>
      <c r="H66" s="9" t="inlineStr">
        <is>
          <t>飼養管理をサポートする定住型人材</t>
        </is>
      </c>
      <c r="I66" s="9" t="inlineStr">
        <is>
          <t>農林課</t>
        </is>
      </c>
      <c r="J66" s="9" t="inlineStr">
        <is>
          <t>管理者</t>
        </is>
      </c>
      <c r="K66" s="9" t="inlineStr">
        <is>
          <t>不明</t>
        </is>
      </c>
      <c r="L66" s="9" t="inlineStr">
        <is>
          <t>未確認</t>
        </is>
      </c>
      <c r="Q66" s="9" t="inlineStr">
        <is>
          <t>未開拓</t>
        </is>
      </c>
      <c r="R66" s="9" t="inlineStr">
        <is>
          <t>ターゲット</t>
        </is>
      </c>
      <c r="S66" s="9" t="inlineStr">
        <is>
          <t>リストアップ</t>
        </is>
      </c>
      <c r="AG66" s="9" t="inlineStr">
        <is>
          <t>営業推進部</t>
        </is>
      </c>
      <c r="AH66" s="9" t="inlineStr">
        <is>
          <t>武田 悦郎</t>
        </is>
      </c>
      <c r="AN66" s="9" t="inlineStr">
        <is>
          <t>未定</t>
        </is>
      </c>
      <c r="AQ66">
        <f>COUNTIFS(加電履歴!$F:$F,B66,加電履歴!$E:$E,"畜種農業")</f>
        <v/>
      </c>
      <c r="AR66" s="10">
        <f>IFERROR(IF(COUNTIFS(加電履歴!$F:$F,B66,加電履歴!$E:$E,"畜種農業")=0,"",MAXIFS(加電履歴!$B:$B,加電履歴!$F:$F,B66,加電履歴!$E:$E,"畜種農業")),"")</f>
        <v/>
      </c>
      <c r="AS66">
        <f>IFERROR(IF(COUNTIFS(加電履歴!$F:$F,B66,加電履歴!$E:$E,"畜種農業")=0,"",INDEX(加電履歴!$I:$I,MATCH(1,(加電履歴!$F:$F=B66)*(加電履歴!$E:$E="畜種農業")*(加電履歴!$B:$B=MAXIFS(加電履歴!$B:$B,加電履歴!$F:$F,B66,加電履歴!$E:$E,"畜種農業")),0))),"")</f>
        <v/>
      </c>
    </row>
    <row r="67">
      <c r="A67" s="9" t="inlineStr">
        <is>
          <t>道北</t>
        </is>
      </c>
      <c r="B67" s="18" t="inlineStr">
        <is>
          <t>鷹栖町営牧場</t>
        </is>
      </c>
      <c r="C67" s="14" t="inlineStr"/>
      <c r="D67" s="18" t="inlineStr">
        <is>
          <t>北海道上川郡鷹栖町 ※詳細要確認</t>
        </is>
      </c>
      <c r="E67" s="18" t="inlineStr">
        <is>
          <t>0166-87-2111 (鷹栖町役場代表) ※要確認</t>
        </is>
      </c>
      <c r="F67" s="9" t="inlineStr">
        <is>
          <t>町営の公共牧場</t>
        </is>
      </c>
      <c r="G67" s="9" t="inlineStr">
        <is>
          <t>都市近郊での人材獲得競争</t>
        </is>
      </c>
      <c r="H67" s="9" t="inlineStr">
        <is>
          <t>コストをかけずに即戦力を確保</t>
        </is>
      </c>
      <c r="I67" s="9" t="inlineStr">
        <is>
          <t>農業委員会</t>
        </is>
      </c>
      <c r="J67" s="9" t="inlineStr">
        <is>
          <t>管理者</t>
        </is>
      </c>
      <c r="K67" s="9" t="inlineStr">
        <is>
          <t>不明</t>
        </is>
      </c>
      <c r="L67" s="9" t="inlineStr">
        <is>
          <t>未確認</t>
        </is>
      </c>
      <c r="Q67" s="9" t="inlineStr">
        <is>
          <t>未開拓</t>
        </is>
      </c>
      <c r="R67" s="9" t="inlineStr">
        <is>
          <t>ターゲット</t>
        </is>
      </c>
      <c r="S67" s="9" t="inlineStr">
        <is>
          <t>リストアップ</t>
        </is>
      </c>
      <c r="AG67" s="9" t="inlineStr">
        <is>
          <t>営業推進部</t>
        </is>
      </c>
      <c r="AH67" s="9" t="inlineStr">
        <is>
          <t>武田 悦郎</t>
        </is>
      </c>
      <c r="AN67" s="9" t="inlineStr">
        <is>
          <t>未定</t>
        </is>
      </c>
      <c r="AQ67">
        <f>COUNTIFS(加電履歴!$F:$F,B67,加電履歴!$E:$E,"畜種農業")</f>
        <v/>
      </c>
      <c r="AR67" s="10">
        <f>IFERROR(IF(COUNTIFS(加電履歴!$F:$F,B67,加電履歴!$E:$E,"畜種農業")=0,"",MAXIFS(加電履歴!$B:$B,加電履歴!$F:$F,B67,加電履歴!$E:$E,"畜種農業")),"")</f>
        <v/>
      </c>
      <c r="AS67">
        <f>IFERROR(IF(COUNTIFS(加電履歴!$F:$F,B67,加電履歴!$E:$E,"畜種農業")=0,"",INDEX(加電履歴!$I:$I,MATCH(1,(加電履歴!$F:$F=B67)*(加電履歴!$E:$E="畜種農業")*(加電履歴!$B:$B=MAXIFS(加電履歴!$B:$B,加電履歴!$F:$F,B67,加電履歴!$E:$E,"畜種農業")),0))),"")</f>
        <v/>
      </c>
    </row>
    <row r="68">
      <c r="A68" s="9" t="inlineStr">
        <is>
          <t>道北</t>
        </is>
      </c>
      <c r="B68" s="18" t="inlineStr">
        <is>
          <t>和寒町営牧場</t>
        </is>
      </c>
      <c r="C68" s="14" t="inlineStr"/>
      <c r="D68" s="18" t="inlineStr">
        <is>
          <t>北海道上川郡和寒町 ※詳細要確認</t>
        </is>
      </c>
      <c r="E68" s="18" t="inlineStr">
        <is>
          <t>0165-32-2421 (和寒町役場代表) ※要確認</t>
        </is>
      </c>
      <c r="F68" s="9" t="inlineStr">
        <is>
          <t>町営の公共牧場</t>
        </is>
      </c>
      <c r="G68" s="9" t="inlineStr">
        <is>
          <t>夏季放牧管理の省力化</t>
        </is>
      </c>
      <c r="H68" s="9" t="inlineStr">
        <is>
          <t>安定稼働を即戦力で支援</t>
        </is>
      </c>
      <c r="I68" s="9" t="inlineStr">
        <is>
          <t>産業振興課</t>
        </is>
      </c>
      <c r="J68" s="9" t="inlineStr">
        <is>
          <t>管理者</t>
        </is>
      </c>
      <c r="K68" s="9" t="inlineStr">
        <is>
          <t>不明</t>
        </is>
      </c>
      <c r="L68" s="9" t="inlineStr">
        <is>
          <t>未確認</t>
        </is>
      </c>
      <c r="Q68" s="9" t="inlineStr">
        <is>
          <t>未開拓</t>
        </is>
      </c>
      <c r="R68" s="9" t="inlineStr">
        <is>
          <t>ターゲット</t>
        </is>
      </c>
      <c r="S68" s="9" t="inlineStr">
        <is>
          <t>リストアップ</t>
        </is>
      </c>
      <c r="AG68" s="9" t="inlineStr">
        <is>
          <t>営業推進部</t>
        </is>
      </c>
      <c r="AH68" s="9" t="inlineStr">
        <is>
          <t>武田 悦郎</t>
        </is>
      </c>
      <c r="AN68" s="9" t="inlineStr">
        <is>
          <t>未定</t>
        </is>
      </c>
      <c r="AQ68">
        <f>COUNTIFS(加電履歴!$F:$F,B68,加電履歴!$E:$E,"畜種農業")</f>
        <v/>
      </c>
      <c r="AR68" s="10">
        <f>IFERROR(IF(COUNTIFS(加電履歴!$F:$F,B68,加電履歴!$E:$E,"畜種農業")=0,"",MAXIFS(加電履歴!$B:$B,加電履歴!$F:$F,B68,加電履歴!$E:$E,"畜種農業")),"")</f>
        <v/>
      </c>
      <c r="AS68">
        <f>IFERROR(IF(COUNTIFS(加電履歴!$F:$F,B68,加電履歴!$E:$E,"畜種農業")=0,"",INDEX(加電履歴!$I:$I,MATCH(1,(加電履歴!$F:$F=B68)*(加電履歴!$E:$E="畜種農業")*(加電履歴!$B:$B=MAXIFS(加電履歴!$B:$B,加電履歴!$F:$F,B68,加電履歴!$E:$E,"畜種農業")),0))),"")</f>
        <v/>
      </c>
    </row>
    <row r="69">
      <c r="A69" s="9" t="inlineStr">
        <is>
          <t>道北</t>
        </is>
      </c>
      <c r="B69" s="18" t="inlineStr">
        <is>
          <t>有限会社きしかわ畜産</t>
        </is>
      </c>
      <c r="C69" s="14" t="inlineStr"/>
      <c r="D69" s="18" t="inlineStr">
        <is>
          <t>北海道名寄市字瑞穂37番地1 (〒096-0077)</t>
        </is>
      </c>
      <c r="E69" s="18" t="inlineStr">
        <is>
          <t>01654-3-5210</t>
        </is>
      </c>
      <c r="F69" s="9" t="inlineStr">
        <is>
          <t>素牛農家</t>
        </is>
      </c>
      <c r="G69" s="9" t="inlineStr">
        <is>
          <t>現場作業の効率化</t>
        </is>
      </c>
      <c r="H69" s="9" t="inlineStr">
        <is>
          <t>若手人材の紹介による基盤提供</t>
        </is>
      </c>
      <c r="I69" s="9" t="inlineStr">
        <is>
          <t>経営陣</t>
        </is>
      </c>
      <c r="J69" s="9" t="inlineStr">
        <is>
          <t>代表</t>
        </is>
      </c>
      <c r="K69" s="9" t="inlineStr">
        <is>
          <t>不明</t>
        </is>
      </c>
      <c r="L69" s="9" t="inlineStr">
        <is>
          <t>未確認</t>
        </is>
      </c>
      <c r="Q69" s="9" t="inlineStr">
        <is>
          <t>未開拓</t>
        </is>
      </c>
      <c r="R69" s="9" t="inlineStr">
        <is>
          <t>ターゲット</t>
        </is>
      </c>
      <c r="S69" s="9" t="inlineStr">
        <is>
          <t>リストアップ</t>
        </is>
      </c>
      <c r="AG69" s="9" t="inlineStr">
        <is>
          <t>営業推進部</t>
        </is>
      </c>
      <c r="AH69" s="9" t="inlineStr">
        <is>
          <t>武田 悦郎</t>
        </is>
      </c>
      <c r="AN69" s="9" t="inlineStr">
        <is>
          <t>未定</t>
        </is>
      </c>
      <c r="AQ69">
        <f>COUNTIFS(加電履歴!$F:$F,B69,加電履歴!$E:$E,"畜種農業")</f>
        <v/>
      </c>
      <c r="AR69" s="10">
        <f>IFERROR(IF(COUNTIFS(加電履歴!$F:$F,B69,加電履歴!$E:$E,"畜種農業")=0,"",MAXIFS(加電履歴!$B:$B,加電履歴!$F:$F,B69,加電履歴!$E:$E,"畜種農業")),"")</f>
        <v/>
      </c>
      <c r="AS69">
        <f>IFERROR(IF(COUNTIFS(加電履歴!$F:$F,B69,加電履歴!$E:$E,"畜種農業")=0,"",INDEX(加電履歴!$I:$I,MATCH(1,(加電履歴!$F:$F=B69)*(加電履歴!$E:$E="畜種農業")*(加電履歴!$B:$B=MAXIFS(加電履歴!$B:$B,加電履歴!$F:$F,B69,加電履歴!$E:$E,"畜種農業")),0))),"")</f>
        <v/>
      </c>
    </row>
    <row r="70">
      <c r="A70" s="9" t="inlineStr">
        <is>
          <t>道北</t>
        </is>
      </c>
      <c r="B70" s="18" t="inlineStr">
        <is>
          <t>農事組合法人 大雪牧場</t>
        </is>
      </c>
      <c r="C70" s="12" t="inlineStr">
        <is>
          <t>https://taisetsu-farm325.com/</t>
        </is>
      </c>
      <c r="D70" s="18" t="inlineStr">
        <is>
          <t>北海道上川郡上川町字白川325</t>
        </is>
      </c>
      <c r="E70" s="18" t="inlineStr">
        <is>
          <t>01658-2-3881</t>
        </is>
      </c>
      <c r="F70" s="9" t="inlineStr">
        <is>
          <t>肉牛・乳牛生産</t>
        </is>
      </c>
      <c r="G70" s="9" t="inlineStr">
        <is>
          <t>多頭数飼育における日常業務</t>
        </is>
      </c>
      <c r="H70" s="9" t="inlineStr">
        <is>
          <t>給餌・清掃を担う即戦力人材</t>
        </is>
      </c>
      <c r="I70" s="9" t="inlineStr">
        <is>
          <t>経営陣</t>
        </is>
      </c>
      <c r="J70" s="9" t="inlineStr">
        <is>
          <t>代表</t>
        </is>
      </c>
      <c r="K70" s="9" t="inlineStr">
        <is>
          <t>不明</t>
        </is>
      </c>
      <c r="L70" s="9" t="inlineStr">
        <is>
          <t>未確認</t>
        </is>
      </c>
      <c r="Q70" s="9" t="inlineStr">
        <is>
          <t>未開拓</t>
        </is>
      </c>
      <c r="R70" s="9" t="inlineStr">
        <is>
          <t>ターゲット</t>
        </is>
      </c>
      <c r="S70" s="9" t="inlineStr">
        <is>
          <t>リストアップ</t>
        </is>
      </c>
      <c r="AG70" s="9" t="inlineStr">
        <is>
          <t>営業推進部</t>
        </is>
      </c>
      <c r="AH70" s="9" t="inlineStr">
        <is>
          <t>武田 悦郎</t>
        </is>
      </c>
      <c r="AN70" s="9" t="inlineStr">
        <is>
          <t>未定</t>
        </is>
      </c>
      <c r="AQ70">
        <f>COUNTIFS(加電履歴!$F:$F,B70,加電履歴!$E:$E,"畜種農業")</f>
        <v/>
      </c>
      <c r="AR70" s="10">
        <f>IFERROR(IF(COUNTIFS(加電履歴!$F:$F,B70,加電履歴!$E:$E,"畜種農業")=0,"",MAXIFS(加電履歴!$B:$B,加電履歴!$F:$F,B70,加電履歴!$E:$E,"畜種農業")),"")</f>
        <v/>
      </c>
      <c r="AS70">
        <f>IFERROR(IF(COUNTIFS(加電履歴!$F:$F,B70,加電履歴!$E:$E,"畜種農業")=0,"",INDEX(加電履歴!$I:$I,MATCH(1,(加電履歴!$F:$F=B70)*(加電履歴!$E:$E="畜種農業")*(加電履歴!$B:$B=MAXIFS(加電履歴!$B:$B,加電履歴!$F:$F,B70,加電履歴!$E:$E,"畜種農業")),0))),"")</f>
        <v/>
      </c>
    </row>
    <row r="71">
      <c r="A71" s="15" t="inlineStr">
        <is>
          <t>道東</t>
        </is>
      </c>
      <c r="B71" s="15" t="inlineStr">
        <is>
          <t>株式会社楠目牧場</t>
        </is>
      </c>
      <c r="C71" s="15" t="inlineStr"/>
      <c r="D71" s="15" t="inlineStr">
        <is>
          <t>北海道網走市字潮見213番地</t>
        </is>
      </c>
      <c r="E71" s="15" t="inlineStr">
        <is>
          <t>※要確認</t>
        </is>
      </c>
      <c r="F71" s="15" t="inlineStr">
        <is>
          <t>網走市の畜産経営/オホーツク海近郊</t>
        </is>
      </c>
      <c r="G71" s="15" t="inlineStr">
        <is>
          <t>労働力確保と日常飼養管理</t>
        </is>
      </c>
      <c r="H71" s="15" t="inlineStr">
        <is>
          <t>採用コストを抑えた即戦力人材の提供</t>
        </is>
      </c>
      <c r="AQ71">
        <f>COUNTIFS(加電履歴!$F:$F,B71,加電履歴!$E:$E,"畜種農業")</f>
        <v/>
      </c>
      <c r="AR71" s="10">
        <f>IFERROR(IF(COUNTIFS(加電履歴!$F:$F,B71,加電履歴!$E:$E,"畜種農業")=0,"",MAXIFS(加電履歴!$B:$B,加電履歴!$F:$F,B71,加電履歴!$E:$E,"畜種農業")),"")</f>
        <v/>
      </c>
      <c r="AS71">
        <f>IFERROR(IF(COUNTIFS(加電履歴!$F:$F,B71,加電履歴!$E:$E,"畜種農業")=0,"",INDEX(加電履歴!$I:$I,MATCH(1,(加電履歴!$F:$F=B71)*(加電履歴!$E:$E="畜種農業")*(加電履歴!$B:$B=MAXIFS(加電履歴!$B:$B,加電履歴!$F:$F,B71,加電履歴!$E:$E,"畜種農業")),0))),"")</f>
        <v/>
      </c>
    </row>
    <row r="72">
      <c r="A72" s="15" t="inlineStr">
        <is>
          <t>道東</t>
        </is>
      </c>
      <c r="B72" s="15" t="inlineStr">
        <is>
          <t>有限会社網走原生牧場観光センター</t>
        </is>
      </c>
      <c r="C72" s="16" t="inlineStr">
        <is>
          <t>http://www.genseibokujou.co.jp/</t>
        </is>
      </c>
      <c r="D72" s="15" t="inlineStr">
        <is>
          <t>北海道網走市藻琴225番地</t>
        </is>
      </c>
      <c r="E72" s="15" t="inlineStr">
        <is>
          <t>0152-46-2121</t>
        </is>
      </c>
      <c r="F72" s="15" t="inlineStr">
        <is>
          <t>観光牧場/乗馬体験/ホーストレッキング</t>
        </is>
      </c>
      <c r="G72" s="15" t="inlineStr">
        <is>
          <t>観光対応と飼養管理の両立</t>
        </is>
      </c>
      <c r="H72" s="15" t="inlineStr">
        <is>
          <t>バックヤード飼育を即戦力に任せ、接客・観光サービスに注力できる体制構築</t>
        </is>
      </c>
      <c r="AQ72">
        <f>COUNTIFS(加電履歴!$F:$F,B72,加電履歴!$E:$E,"畜種農業")</f>
        <v/>
      </c>
      <c r="AR72" s="10">
        <f>IFERROR(IF(COUNTIFS(加電履歴!$F:$F,B72,加電履歴!$E:$E,"畜種農業")=0,"",MAXIFS(加電履歴!$B:$B,加電履歴!$F:$F,B72,加電履歴!$E:$E,"畜種農業")),"")</f>
        <v/>
      </c>
      <c r="AS72">
        <f>IFERROR(IF(COUNTIFS(加電履歴!$F:$F,B72,加電履歴!$E:$E,"畜種農業")=0,"",INDEX(加電履歴!$I:$I,MATCH(1,(加電履歴!$F:$F=B72)*(加電履歴!$E:$E="畜種農業")*(加電履歴!$B:$B=MAXIFS(加電履歴!$B:$B,加電履歴!$F:$F,B72,加電履歴!$E:$E,"畜種農業")),0))),"")</f>
        <v/>
      </c>
    </row>
    <row r="73">
      <c r="A73" s="15" t="inlineStr">
        <is>
          <t>道東</t>
        </is>
      </c>
      <c r="B73" s="15" t="inlineStr">
        <is>
          <t>株式会社協同畜産経営センター</t>
        </is>
      </c>
      <c r="C73" s="16" t="inlineStr">
        <is>
          <t>https://www.hokkaido-pork.jp/farm/feedone/farm_kyodo/</t>
        </is>
      </c>
      <c r="D73" s="15" t="inlineStr">
        <is>
          <t>北海道北見市大正763番地</t>
        </is>
      </c>
      <c r="E73" s="15" t="inlineStr">
        <is>
          <t>0157-36-6006</t>
        </is>
      </c>
      <c r="F73" s="15" t="inlineStr">
        <is>
          <t>オニオンポーク生産/繁殖550頭一貫生産</t>
        </is>
      </c>
      <c r="G73" s="15" t="inlineStr">
        <is>
          <t>大規模養豚における安定的な人員配置</t>
        </is>
      </c>
      <c r="H73" s="15" t="inlineStr">
        <is>
          <t>養豚現場で即戦力となる特定技能人材の配置でブランド維持を支援</t>
        </is>
      </c>
      <c r="AQ73">
        <f>COUNTIFS(加電履歴!$F:$F,B73,加電履歴!$E:$E,"畜種農業")</f>
        <v/>
      </c>
      <c r="AR73" s="10">
        <f>IFERROR(IF(COUNTIFS(加電履歴!$F:$F,B73,加電履歴!$E:$E,"畜種農業")=0,"",MAXIFS(加電履歴!$B:$B,加電履歴!$F:$F,B73,加電履歴!$E:$E,"畜種農業")),"")</f>
        <v/>
      </c>
      <c r="AS73">
        <f>IFERROR(IF(COUNTIFS(加電履歴!$F:$F,B73,加電履歴!$E:$E,"畜種農業")=0,"",INDEX(加電履歴!$I:$I,MATCH(1,(加電履歴!$F:$F=B73)*(加電履歴!$E:$E="畜種農業")*(加電履歴!$B:$B=MAXIFS(加電履歴!$B:$B,加電履歴!$F:$F,B73,加電履歴!$E:$E,"畜種農業")),0))),"")</f>
        <v/>
      </c>
    </row>
    <row r="74">
      <c r="A74" s="15" t="inlineStr">
        <is>
          <t>道東</t>
        </is>
      </c>
      <c r="B74" s="15" t="inlineStr">
        <is>
          <t>株式会社北きつね牧場</t>
        </is>
      </c>
      <c r="C74" s="16" t="inlineStr">
        <is>
          <t>https://kitakitsune-farm.com/</t>
        </is>
      </c>
      <c r="D74" s="15" t="inlineStr">
        <is>
          <t>北海道北見市留辺蘂町花丘52-1</t>
        </is>
      </c>
      <c r="E74" s="15" t="inlineStr">
        <is>
          <t>0157-45-2249</t>
        </is>
      </c>
      <c r="F74" s="15" t="inlineStr">
        <is>
          <t>観光牧場/キタキツネ・エゾタヌキ飼育</t>
        </is>
      </c>
      <c r="G74" s="15" t="inlineStr">
        <is>
          <t>観光来場者対応と動物飼育の兼務</t>
        </is>
      </c>
      <c r="H74" s="15" t="inlineStr">
        <is>
          <t>飼育管理を即戦力が担い、接客・施設運営に注力できる体制構築</t>
        </is>
      </c>
      <c r="AQ74">
        <f>COUNTIFS(加電履歴!$F:$F,B74,加電履歴!$E:$E,"畜種農業")</f>
        <v/>
      </c>
      <c r="AR74" s="10">
        <f>IFERROR(IF(COUNTIFS(加電履歴!$F:$F,B74,加電履歴!$E:$E,"畜種農業")=0,"",MAXIFS(加電履歴!$B:$B,加電履歴!$F:$F,B74,加電履歴!$E:$E,"畜種農業")),"")</f>
        <v/>
      </c>
      <c r="AS74">
        <f>IFERROR(IF(COUNTIFS(加電履歴!$F:$F,B74,加電履歴!$E:$E,"畜種農業")=0,"",INDEX(加電履歴!$I:$I,MATCH(1,(加電履歴!$F:$F=B74)*(加電履歴!$E:$E="畜種農業")*(加電履歴!$B:$B=MAXIFS(加電履歴!$B:$B,加電履歴!$F:$F,B74,加電履歴!$E:$E,"畜種農業")),0))),"")</f>
        <v/>
      </c>
    </row>
    <row r="75">
      <c r="A75" s="15" t="inlineStr">
        <is>
          <t>道東</t>
        </is>
      </c>
      <c r="B75" s="15" t="inlineStr">
        <is>
          <t>株式会社美幌牛肥育センター</t>
        </is>
      </c>
      <c r="C75" s="16" t="inlineStr">
        <is>
          <t>http://www.bihoro-gyu.com/</t>
        </is>
      </c>
      <c r="D75" s="15" t="inlineStr">
        <is>
          <t>北海道網走郡美幌町字都橋211番地</t>
        </is>
      </c>
      <c r="E75" s="15" t="inlineStr">
        <is>
          <t>0152-72-3373</t>
        </is>
      </c>
      <c r="F75" s="15" t="inlineStr">
        <is>
          <t>ブランド牛「びほろ牛」肥育/肉牛飼育・販売・堆肥販売</t>
        </is>
      </c>
      <c r="G75" s="15" t="inlineStr">
        <is>
          <t>ブランド維持のための丁寧な肥育管理と人員確保</t>
        </is>
      </c>
      <c r="H75" s="15" t="inlineStr">
        <is>
          <t>肥育ルーティンを即戦力で支援しブランド維持に貢献</t>
        </is>
      </c>
      <c r="AQ75">
        <f>COUNTIFS(加電履歴!$F:$F,B75,加電履歴!$E:$E,"畜種農業")</f>
        <v/>
      </c>
      <c r="AR75" s="10">
        <f>IFERROR(IF(COUNTIFS(加電履歴!$F:$F,B75,加電履歴!$E:$E,"畜種農業")=0,"",MAXIFS(加電履歴!$B:$B,加電履歴!$F:$F,B75,加電履歴!$E:$E,"畜種農業")),"")</f>
        <v/>
      </c>
      <c r="AS75">
        <f>IFERROR(IF(COUNTIFS(加電履歴!$F:$F,B75,加電履歴!$E:$E,"畜種農業")=0,"",INDEX(加電履歴!$I:$I,MATCH(1,(加電履歴!$F:$F=B75)*(加電履歴!$E:$E="畜種農業")*(加電履歴!$B:$B=MAXIFS(加電履歴!$B:$B,加電履歴!$F:$F,B75,加電履歴!$E:$E,"畜種農業")),0))),"")</f>
        <v/>
      </c>
    </row>
    <row r="76">
      <c r="A76" s="15" t="inlineStr">
        <is>
          <t>道東</t>
        </is>
      </c>
      <c r="B76" s="15" t="inlineStr">
        <is>
          <t>株式会社美幌ファーム</t>
        </is>
      </c>
      <c r="C76" s="15" t="inlineStr">
        <is>
          <t>※要確認</t>
        </is>
      </c>
      <c r="D76" s="15" t="inlineStr">
        <is>
          <t>北海道網走郡美幌町 ※詳細要確認</t>
        </is>
      </c>
      <c r="E76" s="15" t="inlineStr">
        <is>
          <t>※要確認</t>
        </is>
      </c>
      <c r="F76" s="15" t="inlineStr">
        <is>
          <t>びほろ牛の素牛育成(6-12カ月齢)/美幌牛肥育センター系列</t>
        </is>
      </c>
      <c r="G76" s="15" t="inlineStr">
        <is>
          <t>グループ会社との連携と素牛育成の労働力確保</t>
        </is>
      </c>
      <c r="H76" s="15" t="inlineStr">
        <is>
          <t>系列会社と一体での人材紹介、安定した育成オペレーション支援</t>
        </is>
      </c>
      <c r="AQ76">
        <f>COUNTIFS(加電履歴!$F:$F,B76,加電履歴!$E:$E,"畜種農業")</f>
        <v/>
      </c>
      <c r="AR76" s="10">
        <f>IFERROR(IF(COUNTIFS(加電履歴!$F:$F,B76,加電履歴!$E:$E,"畜種農業")=0,"",MAXIFS(加電履歴!$B:$B,加電履歴!$F:$F,B76,加電履歴!$E:$E,"畜種農業")),"")</f>
        <v/>
      </c>
      <c r="AS76">
        <f>IFERROR(IF(COUNTIFS(加電履歴!$F:$F,B76,加電履歴!$E:$E,"畜種農業")=0,"",INDEX(加電履歴!$I:$I,MATCH(1,(加電履歴!$F:$F=B76)*(加電履歴!$E:$E="畜種農業")*(加電履歴!$B:$B=MAXIFS(加電履歴!$B:$B,加電履歴!$F:$F,B76,加電履歴!$E:$E,"畜種農業")),0))),"")</f>
        <v/>
      </c>
    </row>
    <row r="77">
      <c r="A77" s="15" t="inlineStr">
        <is>
          <t>道東</t>
        </is>
      </c>
      <c r="B77" s="15" t="inlineStr">
        <is>
          <t>有限会社佐々木種畜牧場</t>
        </is>
      </c>
      <c r="C77" s="16" t="inlineStr">
        <is>
          <t>https://sasaki-web.net/</t>
        </is>
      </c>
      <c r="D77" s="15" t="inlineStr">
        <is>
          <t>北海道斜里郡斜里町字美咲69</t>
        </is>
      </c>
      <c r="E77" s="15" t="inlineStr">
        <is>
          <t>0152-23-0429</t>
        </is>
      </c>
      <c r="F77" s="15" t="inlineStr">
        <is>
          <t>サチク麦王ブランド豚/麦主体飼料/直売店併設</t>
        </is>
      </c>
      <c r="G77" s="15" t="inlineStr">
        <is>
          <t>養豚と直売店の両立</t>
        </is>
      </c>
      <c r="H77" s="15" t="inlineStr">
        <is>
          <t>養豚現場の即戦力配置で代表が販売・加工に注力できる体制構築</t>
        </is>
      </c>
      <c r="AQ77">
        <f>COUNTIFS(加電履歴!$F:$F,B77,加電履歴!$E:$E,"畜種農業")</f>
        <v/>
      </c>
      <c r="AR77" s="10">
        <f>IFERROR(IF(COUNTIFS(加電履歴!$F:$F,B77,加電履歴!$E:$E,"畜種農業")=0,"",MAXIFS(加電履歴!$B:$B,加電履歴!$F:$F,B77,加電履歴!$E:$E,"畜種農業")),"")</f>
        <v/>
      </c>
      <c r="AS77">
        <f>IFERROR(IF(COUNTIFS(加電履歴!$F:$F,B77,加電履歴!$E:$E,"畜種農業")=0,"",INDEX(加電履歴!$I:$I,MATCH(1,(加電履歴!$F:$F=B77)*(加電履歴!$E:$E="畜種農業")*(加電履歴!$B:$B=MAXIFS(加電履歴!$B:$B,加電履歴!$F:$F,B77,加電履歴!$E:$E,"畜種農業")),0))),"")</f>
        <v/>
      </c>
    </row>
    <row r="78">
      <c r="A78" s="15" t="inlineStr">
        <is>
          <t>道東</t>
        </is>
      </c>
      <c r="B78" s="15" t="inlineStr">
        <is>
          <t>株式会社オホーツクファーム33</t>
        </is>
      </c>
      <c r="C78" s="15" t="inlineStr"/>
      <c r="D78" s="15" t="inlineStr">
        <is>
          <t>北海道網走市字北浜273番地の4</t>
        </is>
      </c>
      <c r="E78" s="15" t="inlineStr">
        <is>
          <t>※要確認</t>
        </is>
      </c>
      <c r="F78" s="15" t="inlineStr">
        <is>
          <t>網走市での牧場経営</t>
        </is>
      </c>
      <c r="G78" s="15" t="inlineStr">
        <is>
          <t>日常飼養管理の労働力確保</t>
        </is>
      </c>
      <c r="H78" s="15" t="inlineStr">
        <is>
          <t>採用コストを抑えた即戦力人材の提供</t>
        </is>
      </c>
      <c r="AQ78">
        <f>COUNTIFS(加電履歴!$F:$F,B78,加電履歴!$E:$E,"畜種農業")</f>
        <v/>
      </c>
      <c r="AR78" s="10">
        <f>IFERROR(IF(COUNTIFS(加電履歴!$F:$F,B78,加電履歴!$E:$E,"畜種農業")=0,"",MAXIFS(加電履歴!$B:$B,加電履歴!$F:$F,B78,加電履歴!$E:$E,"畜種農業")),"")</f>
        <v/>
      </c>
      <c r="AS78">
        <f>IFERROR(IF(COUNTIFS(加電履歴!$F:$F,B78,加電履歴!$E:$E,"畜種農業")=0,"",INDEX(加電履歴!$I:$I,MATCH(1,(加電履歴!$F:$F=B78)*(加電履歴!$E:$E="畜種農業")*(加電履歴!$B:$B=MAXIFS(加電履歴!$B:$B,加電履歴!$F:$F,B78,加電履歴!$E:$E,"畜種農業")),0))),"")</f>
        <v/>
      </c>
    </row>
    <row r="79">
      <c r="A79" s="15" t="inlineStr">
        <is>
          <t>道東</t>
        </is>
      </c>
      <c r="B79" s="15" t="inlineStr">
        <is>
          <t>有限会社網走ふる里牧場</t>
        </is>
      </c>
      <c r="C79" s="15" t="inlineStr"/>
      <c r="D79" s="15" t="inlineStr">
        <is>
          <t>北海道網走市字稲富83</t>
        </is>
      </c>
      <c r="E79" s="14" t="inlineStr">
        <is>
          <t>0152-46-2402</t>
        </is>
      </c>
      <c r="F79" s="15" t="inlineStr">
        <is>
          <t>網走市の畜産業</t>
        </is>
      </c>
      <c r="G79" s="15" t="inlineStr">
        <is>
          <t>通常飼養管理の担い手不足</t>
        </is>
      </c>
      <c r="H79" s="15" t="inlineStr">
        <is>
          <t>即戦力配置による飼養管理の安定化</t>
        </is>
      </c>
      <c r="AQ79">
        <f>COUNTIFS(加電履歴!$F:$F,B79,加電履歴!$E:$E,"畜種農業")</f>
        <v/>
      </c>
      <c r="AR79" s="10">
        <f>IFERROR(IF(COUNTIFS(加電履歴!$F:$F,B79,加電履歴!$E:$E,"畜種農業")=0,"",MAXIFS(加電履歴!$B:$B,加電履歴!$F:$F,B79,加電履歴!$E:$E,"畜種農業")),"")</f>
        <v/>
      </c>
      <c r="AS79">
        <f>IFERROR(IF(COUNTIFS(加電履歴!$F:$F,B79,加電履歴!$E:$E,"畜種農業")=0,"",INDEX(加電履歴!$I:$I,MATCH(1,(加電履歴!$F:$F=B79)*(加電履歴!$E:$E="畜種農業")*(加電履歴!$B:$B=MAXIFS(加電履歴!$B:$B,加電履歴!$F:$F,B79,加電履歴!$E:$E,"畜種農業")),0))),"")</f>
        <v/>
      </c>
    </row>
    <row r="80">
      <c r="A80" s="15" t="inlineStr">
        <is>
          <t>道東</t>
        </is>
      </c>
      <c r="B80" s="15" t="inlineStr">
        <is>
          <t>株式会社北海道畜産公社 道東事業所 北見工場</t>
        </is>
      </c>
      <c r="C80" s="16" t="inlineStr">
        <is>
          <t>https://tikusan.securesite.jp/</t>
        </is>
      </c>
      <c r="D80" s="15" t="inlineStr">
        <is>
          <t>北海道網走郡大空町東藻琴西倉280-3 (〒099-3202)</t>
        </is>
      </c>
      <c r="E80" s="15" t="inlineStr">
        <is>
          <t>※要確認</t>
        </is>
      </c>
      <c r="F80" s="15" t="inlineStr">
        <is>
          <t>オホーツク地区主要食肉処理工場/牛・豚加工/海外輸出認定</t>
        </is>
      </c>
      <c r="G80" s="15" t="inlineStr">
        <is>
          <t>大規模食肉処理ラインにおける慢性的人員不足</t>
        </is>
      </c>
      <c r="H80" s="15" t="inlineStr">
        <is>
          <t>食肉加工現場で即戦力となる特定技能人材を通年で提供</t>
        </is>
      </c>
      <c r="AQ80">
        <f>COUNTIFS(加電履歴!$F:$F,B80,加電履歴!$E:$E,"畜種農業")</f>
        <v/>
      </c>
      <c r="AR80" s="10">
        <f>IFERROR(IF(COUNTIFS(加電履歴!$F:$F,B80,加電履歴!$E:$E,"畜種農業")=0,"",MAXIFS(加電履歴!$B:$B,加電履歴!$F:$F,B80,加電履歴!$E:$E,"畜種農業")),"")</f>
        <v/>
      </c>
      <c r="AS80">
        <f>IFERROR(IF(COUNTIFS(加電履歴!$F:$F,B80,加電履歴!$E:$E,"畜種農業")=0,"",INDEX(加電履歴!$I:$I,MATCH(1,(加電履歴!$F:$F=B80)*(加電履歴!$E:$E="畜種農業")*(加電履歴!$B:$B=MAXIFS(加電履歴!$B:$B,加電履歴!$F:$F,B80,加電履歴!$E:$E,"畜種農業")),0))),"")</f>
        <v/>
      </c>
    </row>
    <row r="81">
      <c r="A81" s="15" t="inlineStr">
        <is>
          <t>道東</t>
        </is>
      </c>
      <c r="B81" s="15" t="inlineStr">
        <is>
          <t>有限会社山口ファーム</t>
        </is>
      </c>
      <c r="C81" s="16" t="inlineStr">
        <is>
          <t>https://www.yamaguchifarm.com/</t>
        </is>
      </c>
      <c r="D81" s="15" t="inlineStr">
        <is>
          <t>北海道網走郡大空町東藻琴末広92番地 (〒099-3232)</t>
        </is>
      </c>
      <c r="E81" s="15" t="inlineStr">
        <is>
          <t>0152-66-3434</t>
        </is>
      </c>
      <c r="F81" s="15" t="inlineStr">
        <is>
          <t>大空町東藻琴の農場経営</t>
        </is>
      </c>
      <c r="G81" s="15" t="inlineStr">
        <is>
          <t>農繁期の労働力確保</t>
        </is>
      </c>
      <c r="H81" s="15" t="inlineStr">
        <is>
          <t>即戦力人材による農作業の安定化</t>
        </is>
      </c>
      <c r="AQ81">
        <f>COUNTIFS(加電履歴!$F:$F,B81,加電履歴!$E:$E,"畜種農業")</f>
        <v/>
      </c>
      <c r="AR81" s="10">
        <f>IFERROR(IF(COUNTIFS(加電履歴!$F:$F,B81,加電履歴!$E:$E,"畜種農業")=0,"",MAXIFS(加電履歴!$B:$B,加電履歴!$F:$F,B81,加電履歴!$E:$E,"畜種農業")),"")</f>
        <v/>
      </c>
      <c r="AS81">
        <f>IFERROR(IF(COUNTIFS(加電履歴!$F:$F,B81,加電履歴!$E:$E,"畜種農業")=0,"",INDEX(加電履歴!$I:$I,MATCH(1,(加電履歴!$F:$F=B81)*(加電履歴!$E:$E="畜種農業")*(加電履歴!$B:$B=MAXIFS(加電履歴!$B:$B,加電履歴!$F:$F,B81,加電履歴!$E:$E,"畜種農業")),0))),"")</f>
        <v/>
      </c>
    </row>
    <row r="82">
      <c r="A82" s="15" t="inlineStr">
        <is>
          <t>道東</t>
        </is>
      </c>
      <c r="B82" s="15" t="inlineStr">
        <is>
          <t>有限会社西牧場</t>
        </is>
      </c>
      <c r="C82" s="16" t="inlineStr">
        <is>
          <t>https://www.nishi-farm.com/</t>
        </is>
      </c>
      <c r="D82" s="15" t="inlineStr">
        <is>
          <t>北海道網走郡大空町東藻琴西倉347 (〒099-3202)</t>
        </is>
      </c>
      <c r="E82" s="15" t="inlineStr">
        <is>
          <t>0152-66-2260</t>
        </is>
      </c>
      <c r="F82" s="15" t="inlineStr">
        <is>
          <t>酪農・和牛素牛生産/乳牛235頭+黒毛和牛110頭</t>
        </is>
      </c>
      <c r="G82" s="15" t="inlineStr">
        <is>
          <t>酪農と和牛繁殖の両立による多忙</t>
        </is>
      </c>
      <c r="H82" s="15" t="inlineStr">
        <is>
          <t>飼養ルーティンを即戦力に任せ、繁殖管理に注力できる体制構築</t>
        </is>
      </c>
      <c r="AQ82">
        <f>COUNTIFS(加電履歴!$F:$F,B82,加電履歴!$E:$E,"畜種農業")</f>
        <v/>
      </c>
      <c r="AR82" s="10">
        <f>IFERROR(IF(COUNTIFS(加電履歴!$F:$F,B82,加電履歴!$E:$E,"畜種農業")=0,"",MAXIFS(加電履歴!$B:$B,加電履歴!$F:$F,B82,加電履歴!$E:$E,"畜種農業")),"")</f>
        <v/>
      </c>
      <c r="AS82">
        <f>IFERROR(IF(COUNTIFS(加電履歴!$F:$F,B82,加電履歴!$E:$E,"畜種農業")=0,"",INDEX(加電履歴!$I:$I,MATCH(1,(加電履歴!$F:$F=B82)*(加電履歴!$E:$E="畜種農業")*(加電履歴!$B:$B=MAXIFS(加電履歴!$B:$B,加電履歴!$F:$F,B82,加電履歴!$E:$E,"畜種農業")),0))),"")</f>
        <v/>
      </c>
    </row>
    <row r="83">
      <c r="A83" s="15" t="inlineStr">
        <is>
          <t>道東</t>
        </is>
      </c>
      <c r="B83" s="15" t="inlineStr">
        <is>
          <t>株式会社津別ファーム</t>
        </is>
      </c>
      <c r="C83" s="16" t="inlineStr">
        <is>
          <t>https://tsubetsufarm.com/</t>
        </is>
      </c>
      <c r="D83" s="15" t="inlineStr">
        <is>
          <t>北海道網走郡津別町字栄58番地2 (〒092-0356)</t>
        </is>
      </c>
      <c r="E83" s="15" t="inlineStr">
        <is>
          <t>0152-76-1420</t>
        </is>
      </c>
      <c r="F83" s="15" t="inlineStr">
        <is>
          <t>黒毛和牛素牛生産/飼養3500頭(繁殖1711/育成1220/肥育568)</t>
        </is>
      </c>
      <c r="G83" s="15" t="inlineStr">
        <is>
          <t>大規模和牛繁殖における人員確保と血統管理</t>
        </is>
      </c>
      <c r="H83" s="15" t="inlineStr">
        <is>
          <t>繁殖・育成・肥育の各段階に即戦力を配置し品質を維持</t>
        </is>
      </c>
      <c r="AQ83">
        <f>COUNTIFS(加電履歴!$F:$F,B83,加電履歴!$E:$E,"畜種農業")</f>
        <v/>
      </c>
      <c r="AR83" s="10">
        <f>IFERROR(IF(COUNTIFS(加電履歴!$F:$F,B83,加電履歴!$E:$E,"畜種農業")=0,"",MAXIFS(加電履歴!$B:$B,加電履歴!$F:$F,B83,加電履歴!$E:$E,"畜種農業")),"")</f>
        <v/>
      </c>
      <c r="AS83">
        <f>IFERROR(IF(COUNTIFS(加電履歴!$F:$F,B83,加電履歴!$E:$E,"畜種農業")=0,"",INDEX(加電履歴!$I:$I,MATCH(1,(加電履歴!$F:$F=B83)*(加電履歴!$E:$E="畜種農業")*(加電履歴!$B:$B=MAXIFS(加電履歴!$B:$B,加電履歴!$F:$F,B83,加電履歴!$E:$E,"畜種農業")),0))),"")</f>
        <v/>
      </c>
    </row>
    <row r="84">
      <c r="A84" s="15" t="inlineStr">
        <is>
          <t>道東</t>
        </is>
      </c>
      <c r="B84" s="15" t="inlineStr">
        <is>
          <t>エミュー牧場 (オホーツクエミューらんど)</t>
        </is>
      </c>
      <c r="C84" s="16" t="inlineStr">
        <is>
          <t>https://zoo.hokkaido.jp/okhotsctemu/</t>
        </is>
      </c>
      <c r="D84" s="15" t="inlineStr">
        <is>
          <t>北海道網走市字稲富462 (〒099-3115)</t>
        </is>
      </c>
      <c r="E84" s="15" t="inlineStr">
        <is>
          <t>0152-46-2644</t>
        </is>
      </c>
      <c r="F84" s="15" t="inlineStr">
        <is>
          <t>日本最大級のエミュー牧場/観光・東京農大エミュー研究会付属</t>
        </is>
      </c>
      <c r="G84" s="15" t="inlineStr">
        <is>
          <t>観光対応とエミュー飼育の両立</t>
        </is>
      </c>
      <c r="H84" s="15" t="inlineStr">
        <is>
          <t>飼育・施設管理を即戦力に任せ、観光体験の質向上</t>
        </is>
      </c>
      <c r="AQ84">
        <f>COUNTIFS(加電履歴!$F:$F,B84,加電履歴!$E:$E,"畜種農業")</f>
        <v/>
      </c>
      <c r="AR84" s="10">
        <f>IFERROR(IF(COUNTIFS(加電履歴!$F:$F,B84,加電履歴!$E:$E,"畜種農業")=0,"",MAXIFS(加電履歴!$B:$B,加電履歴!$F:$F,B84,加電履歴!$E:$E,"畜種農業")),"")</f>
        <v/>
      </c>
      <c r="AS84">
        <f>IFERROR(IF(COUNTIFS(加電履歴!$F:$F,B84,加電履歴!$E:$E,"畜種農業")=0,"",INDEX(加電履歴!$I:$I,MATCH(1,(加電履歴!$F:$F=B84)*(加電履歴!$E:$E="畜種農業")*(加電履歴!$B:$B=MAXIFS(加電履歴!$B:$B,加電履歴!$F:$F,B84,加電履歴!$E:$E,"畜種農業")),0))),"")</f>
        <v/>
      </c>
    </row>
    <row r="85">
      <c r="A85" s="15" t="inlineStr">
        <is>
          <t>道東</t>
        </is>
      </c>
      <c r="B85" s="15" t="inlineStr">
        <is>
          <t>太田ファーム (大空町)</t>
        </is>
      </c>
      <c r="C85" s="15" t="inlineStr"/>
      <c r="D85" s="15" t="inlineStr">
        <is>
          <t>北海道網走郡大空町東藻琴西倉179-2 (〒099-3202)</t>
        </is>
      </c>
      <c r="E85" s="15" t="inlineStr">
        <is>
          <t>0152-66-2025</t>
        </is>
      </c>
      <c r="F85" s="15" t="inlineStr">
        <is>
          <t>養豚経営</t>
        </is>
      </c>
      <c r="G85" s="15" t="inlineStr">
        <is>
          <t>養豚現場の安定的な人員確保</t>
        </is>
      </c>
      <c r="H85" s="15" t="inlineStr">
        <is>
          <t>養豚現場で即戦力となる特定技能人材の配置</t>
        </is>
      </c>
      <c r="AQ85">
        <f>COUNTIFS(加電履歴!$F:$F,B85,加電履歴!$E:$E,"畜種農業")</f>
        <v/>
      </c>
      <c r="AR85" s="10">
        <f>IFERROR(IF(COUNTIFS(加電履歴!$F:$F,B85,加電履歴!$E:$E,"畜種農業")=0,"",MAXIFS(加電履歴!$B:$B,加電履歴!$F:$F,B85,加電履歴!$E:$E,"畜種農業")),"")</f>
        <v/>
      </c>
      <c r="AS85">
        <f>IFERROR(IF(COUNTIFS(加電履歴!$F:$F,B85,加電履歴!$E:$E,"畜種農業")=0,"",INDEX(加電履歴!$I:$I,MATCH(1,(加電履歴!$F:$F=B85)*(加電履歴!$E:$E="畜種農業")*(加電履歴!$B:$B=MAXIFS(加電履歴!$B:$B,加電履歴!$F:$F,B85,加電履歴!$E:$E,"畜種農業")),0))),"")</f>
        <v/>
      </c>
    </row>
    <row r="86">
      <c r="A86" s="15" t="inlineStr">
        <is>
          <t>道東</t>
        </is>
      </c>
      <c r="B86" s="15" t="inlineStr">
        <is>
          <t>有限会社長尾産業</t>
        </is>
      </c>
      <c r="C86" s="16" t="inlineStr">
        <is>
          <t>https://nagao-sangyo.com/</t>
        </is>
      </c>
      <c r="D86" s="15" t="inlineStr">
        <is>
          <t>北海道網走郡大空町東藻琴山園166</t>
        </is>
      </c>
      <c r="E86" s="15" t="inlineStr">
        <is>
          <t>※要確認</t>
        </is>
      </c>
      <c r="F86" s="15" t="inlineStr">
        <is>
          <t>大規模酪農・アイス販売（東藻琴）</t>
        </is>
      </c>
      <c r="G86" s="15" t="inlineStr">
        <is>
          <t>大規模酪農オペレーションの担い手確保</t>
        </is>
      </c>
      <c r="H86" s="15" t="inlineStr">
        <is>
          <t>即戦力配置で搾乳・飼養管理を安定化、6次産業に注力できる体制構築</t>
        </is>
      </c>
      <c r="AQ86">
        <f>COUNTIFS(加電履歴!$F:$F,B86,加電履歴!$E:$E,"畜種農業")</f>
        <v/>
      </c>
      <c r="AR86" s="10">
        <f>IFERROR(IF(COUNTIFS(加電履歴!$F:$F,B86,加電履歴!$E:$E,"畜種農業")=0,"",MAXIFS(加電履歴!$B:$B,加電履歴!$F:$F,B86,加電履歴!$E:$E,"畜種農業")),"")</f>
        <v/>
      </c>
      <c r="AS86">
        <f>IFERROR(IF(COUNTIFS(加電履歴!$F:$F,B86,加電履歴!$E:$E,"畜種農業")=0,"",INDEX(加電履歴!$I:$I,MATCH(1,(加電履歴!$F:$F=B86)*(加電履歴!$E:$E="畜種農業")*(加電履歴!$B:$B=MAXIFS(加電履歴!$B:$B,加電履歴!$F:$F,B86,加電履歴!$E:$E,"畜種農業")),0))),"")</f>
        <v/>
      </c>
    </row>
    <row r="87">
      <c r="A87" s="15" t="inlineStr">
        <is>
          <t>道東</t>
        </is>
      </c>
      <c r="B87" s="15" t="inlineStr">
        <is>
          <t>株式会社小清水農業振興公社 (アグリハートセンター)</t>
        </is>
      </c>
      <c r="C87" s="16" t="inlineStr">
        <is>
          <t>http://agriheart.jp/</t>
        </is>
      </c>
      <c r="D87" s="15" t="inlineStr">
        <is>
          <t>北海道斜里郡小清水町南町1丁目29番18号 (〒099-3642)</t>
        </is>
      </c>
      <c r="E87" s="15" t="inlineStr">
        <is>
          <t>0152-67-5716</t>
        </is>
      </c>
      <c r="F87" s="15" t="inlineStr">
        <is>
          <t>小清水町・JAこしみず等4団体出資の公社/農作業支援事業</t>
        </is>
      </c>
      <c r="G87" s="15" t="inlineStr">
        <is>
          <t>町内農家への労働力供給のニーズ</t>
        </is>
      </c>
      <c r="H87" s="15" t="inlineStr">
        <is>
          <t>公社窓口を通じた管内農家への一括人材紹介スキーム</t>
        </is>
      </c>
      <c r="AQ87">
        <f>COUNTIFS(加電履歴!$F:$F,B87,加電履歴!$E:$E,"畜種農業")</f>
        <v/>
      </c>
      <c r="AR87" s="10">
        <f>IFERROR(IF(COUNTIFS(加電履歴!$F:$F,B87,加電履歴!$E:$E,"畜種農業")=0,"",MAXIFS(加電履歴!$B:$B,加電履歴!$F:$F,B87,加電履歴!$E:$E,"畜種農業")),"")</f>
        <v/>
      </c>
      <c r="AS87">
        <f>IFERROR(IF(COUNTIFS(加電履歴!$F:$F,B87,加電履歴!$E:$E,"畜種農業")=0,"",INDEX(加電履歴!$I:$I,MATCH(1,(加電履歴!$F:$F=B87)*(加電履歴!$E:$E="畜種農業")*(加電履歴!$B:$B=MAXIFS(加電履歴!$B:$B,加電履歴!$F:$F,B87,加電履歴!$E:$E,"畜種農業")),0))),"")</f>
        <v/>
      </c>
    </row>
    <row r="88">
      <c r="C88" t="inlineStr">
        <is>
          <t>https://www.hokkaido-pork.jp/farm/feedone/farm_kyodo/</t>
        </is>
      </c>
    </row>
    <row r="89">
      <c r="C89" t="inlineStr">
        <is>
          <t>https://kitakitsune-farm.com/</t>
        </is>
      </c>
    </row>
    <row r="90">
      <c r="C90" t="inlineStr">
        <is>
          <t>http://www.bihoro-gyu.com/</t>
        </is>
      </c>
    </row>
    <row r="91"/>
    <row r="92">
      <c r="C92" t="inlineStr">
        <is>
          <t>https://sasaki-web.net/</t>
        </is>
      </c>
    </row>
    <row r="93"/>
    <row r="94"/>
    <row r="95">
      <c r="C95" t="inlineStr">
        <is>
          <t>https://tikusan.securesite.jp/</t>
        </is>
      </c>
    </row>
    <row r="96">
      <c r="C96" t="inlineStr">
        <is>
          <t>https://www.yamaguchifarm.com/</t>
        </is>
      </c>
    </row>
    <row r="97">
      <c r="C97" t="inlineStr">
        <is>
          <t>https://www.nishi-farm.com/</t>
        </is>
      </c>
    </row>
    <row r="98">
      <c r="C98" t="inlineStr">
        <is>
          <t>https://tsubetsufarm.com/</t>
        </is>
      </c>
    </row>
    <row r="99">
      <c r="C99" t="inlineStr">
        <is>
          <t>https://zoo.hokkaido.jp/okhotsctemu/</t>
        </is>
      </c>
    </row>
    <row r="100"/>
    <row r="101">
      <c r="C101" t="inlineStr">
        <is>
          <t>https://nagao-sangyo.com/</t>
        </is>
      </c>
    </row>
    <row r="102">
      <c r="C102" t="inlineStr">
        <is>
          <t>http://agriheart.jp/</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9" r:id="rId26"/>
    <hyperlink xmlns:r="http://schemas.openxmlformats.org/officeDocument/2006/relationships" ref="C30" r:id="rId27"/>
    <hyperlink xmlns:r="http://schemas.openxmlformats.org/officeDocument/2006/relationships" ref="C35" r:id="rId28"/>
    <hyperlink xmlns:r="http://schemas.openxmlformats.org/officeDocument/2006/relationships" ref="C36" r:id="rId29"/>
    <hyperlink xmlns:r="http://schemas.openxmlformats.org/officeDocument/2006/relationships" ref="C37" r:id="rId30"/>
    <hyperlink xmlns:r="http://schemas.openxmlformats.org/officeDocument/2006/relationships" ref="C38" r:id="rId31"/>
    <hyperlink xmlns:r="http://schemas.openxmlformats.org/officeDocument/2006/relationships" ref="C39" r:id="rId32"/>
    <hyperlink xmlns:r="http://schemas.openxmlformats.org/officeDocument/2006/relationships" ref="C40" r:id="rId33"/>
    <hyperlink xmlns:r="http://schemas.openxmlformats.org/officeDocument/2006/relationships" ref="C42" r:id="rId34"/>
    <hyperlink xmlns:r="http://schemas.openxmlformats.org/officeDocument/2006/relationships" ref="C43" r:id="rId35"/>
    <hyperlink xmlns:r="http://schemas.openxmlformats.org/officeDocument/2006/relationships" ref="C45" r:id="rId36"/>
    <hyperlink xmlns:r="http://schemas.openxmlformats.org/officeDocument/2006/relationships" ref="C48" r:id="rId37"/>
    <hyperlink xmlns:r="http://schemas.openxmlformats.org/officeDocument/2006/relationships" ref="C49" r:id="rId38"/>
    <hyperlink xmlns:r="http://schemas.openxmlformats.org/officeDocument/2006/relationships" ref="C50" r:id="rId39"/>
    <hyperlink xmlns:r="http://schemas.openxmlformats.org/officeDocument/2006/relationships" ref="C51" r:id="rId40"/>
    <hyperlink xmlns:r="http://schemas.openxmlformats.org/officeDocument/2006/relationships" ref="C52" r:id="rId41"/>
    <hyperlink xmlns:r="http://schemas.openxmlformats.org/officeDocument/2006/relationships" ref="C53" r:id="rId42"/>
    <hyperlink xmlns:r="http://schemas.openxmlformats.org/officeDocument/2006/relationships" ref="C55" r:id="rId43"/>
    <hyperlink xmlns:r="http://schemas.openxmlformats.org/officeDocument/2006/relationships" ref="C56" r:id="rId44"/>
    <hyperlink xmlns:r="http://schemas.openxmlformats.org/officeDocument/2006/relationships" ref="C57" r:id="rId45"/>
    <hyperlink xmlns:r="http://schemas.openxmlformats.org/officeDocument/2006/relationships" ref="C58" r:id="rId46"/>
    <hyperlink xmlns:r="http://schemas.openxmlformats.org/officeDocument/2006/relationships" ref="C65" r:id="rId47"/>
    <hyperlink xmlns:r="http://schemas.openxmlformats.org/officeDocument/2006/relationships" ref="C70" r:id="rId48"/>
    <hyperlink xmlns:r="http://schemas.openxmlformats.org/officeDocument/2006/relationships" ref="C87" r:id="rId49"/>
    <hyperlink xmlns:r="http://schemas.openxmlformats.org/officeDocument/2006/relationships" ref="C88" r:id="rId50"/>
    <hyperlink xmlns:r="http://schemas.openxmlformats.org/officeDocument/2006/relationships" ref="C89" r:id="rId51"/>
    <hyperlink xmlns:r="http://schemas.openxmlformats.org/officeDocument/2006/relationships" ref="C90" r:id="rId52"/>
    <hyperlink xmlns:r="http://schemas.openxmlformats.org/officeDocument/2006/relationships" ref="C92" r:id="rId53"/>
    <hyperlink xmlns:r="http://schemas.openxmlformats.org/officeDocument/2006/relationships" ref="C95" r:id="rId54"/>
    <hyperlink xmlns:r="http://schemas.openxmlformats.org/officeDocument/2006/relationships" ref="C96" r:id="rId55"/>
    <hyperlink xmlns:r="http://schemas.openxmlformats.org/officeDocument/2006/relationships" ref="C97" r:id="rId56"/>
    <hyperlink xmlns:r="http://schemas.openxmlformats.org/officeDocument/2006/relationships" ref="C98" r:id="rId57"/>
    <hyperlink xmlns:r="http://schemas.openxmlformats.org/officeDocument/2006/relationships" ref="C99" r:id="rId58"/>
    <hyperlink xmlns:r="http://schemas.openxmlformats.org/officeDocument/2006/relationships" ref="C101" r:id="rId59"/>
    <hyperlink xmlns:r="http://schemas.openxmlformats.org/officeDocument/2006/relationships" ref="C102" r:id="rId60"/>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9"/>
  <sheetViews>
    <sheetView workbookViewId="0">
      <selection activeCell="A1" sqref="A1"/>
    </sheetView>
  </sheetViews>
  <sheetFormatPr baseColWidth="8" defaultRowHeight="15"/>
  <sheetData>
    <row r="1">
      <c r="A1" t="inlineStr">
        <is>
          <t>エリア一覧</t>
        </is>
      </c>
      <c r="B1" t="inlineStr">
        <is>
          <t>道央</t>
        </is>
      </c>
      <c r="C1" t="inlineStr">
        <is>
          <t>道北</t>
        </is>
      </c>
      <c r="D1" t="inlineStr">
        <is>
          <t>道東</t>
        </is>
      </c>
      <c r="E1" t="inlineStr">
        <is>
          <t>道南</t>
        </is>
      </c>
      <c r="F1" t="inlineStr">
        <is>
          <t>JA_道央</t>
        </is>
      </c>
      <c r="G1" t="inlineStr">
        <is>
          <t>JA_道北</t>
        </is>
      </c>
      <c r="H1" t="inlineStr">
        <is>
          <t>JA_道東</t>
        </is>
      </c>
      <c r="I1" t="inlineStr">
        <is>
          <t>JA_道南</t>
        </is>
      </c>
      <c r="J1" t="inlineStr">
        <is>
          <t>畜種農業_道央</t>
        </is>
      </c>
      <c r="K1" t="inlineStr">
        <is>
          <t>畜種農業_道北</t>
        </is>
      </c>
      <c r="L1" t="inlineStr">
        <is>
          <t>畜種農業_道東</t>
        </is>
      </c>
      <c r="M1" t="inlineStr">
        <is>
          <t>畜種農業_道南</t>
        </is>
      </c>
    </row>
    <row r="2">
      <c r="A2" t="inlineStr">
        <is>
          <t>道央</t>
        </is>
      </c>
      <c r="B2" t="inlineStr">
        <is>
          <t>JAいわみざわ</t>
        </is>
      </c>
      <c r="C2" t="inlineStr">
        <is>
          <t>JAたいせつ</t>
        </is>
      </c>
      <c r="D2" t="inlineStr">
        <is>
          <t>JAえんゆう</t>
        </is>
      </c>
      <c r="E2" t="inlineStr">
        <is>
          <t>※有限会社八雲ファーム → 日本クリーンファーム(株)へ社名変更 (Row 35と統合)</t>
        </is>
      </c>
      <c r="F2" t="inlineStr">
        <is>
          <t>JAいわみざわ</t>
        </is>
      </c>
      <c r="G2" t="inlineStr">
        <is>
          <t>JAたいせつ</t>
        </is>
      </c>
      <c r="H2" t="inlineStr">
        <is>
          <t>JAえんゆう</t>
        </is>
      </c>
      <c r="J2" t="inlineStr">
        <is>
          <t>おおやファーム株式会社</t>
        </is>
      </c>
      <c r="K2" t="inlineStr">
        <is>
          <t>ファームズ千代田</t>
        </is>
      </c>
      <c r="L2" t="inlineStr">
        <is>
          <t>エミュー牧場 (オホーツクエミューらんど)</t>
        </is>
      </c>
      <c r="M2" t="inlineStr">
        <is>
          <t>※有限会社八雲ファーム → 日本クリーンファーム(株)へ社名変更 (Row 35と統合)</t>
        </is>
      </c>
    </row>
    <row r="3">
      <c r="A3" t="inlineStr">
        <is>
          <t>道北</t>
        </is>
      </c>
      <c r="B3" t="inlineStr">
        <is>
          <t>JAきたそらち</t>
        </is>
      </c>
      <c r="C3" t="inlineStr">
        <is>
          <t>JAひがしかわ</t>
        </is>
      </c>
      <c r="D3" t="inlineStr">
        <is>
          <t>JAおとふけ</t>
        </is>
      </c>
      <c r="E3" t="inlineStr">
        <is>
          <t>はこだてSinアグリファーム</t>
        </is>
      </c>
      <c r="F3" t="inlineStr">
        <is>
          <t>JAきたそらち</t>
        </is>
      </c>
      <c r="G3" t="inlineStr">
        <is>
          <t>JAひがしかわ</t>
        </is>
      </c>
      <c r="H3" t="inlineStr">
        <is>
          <t>JAおとふけ</t>
        </is>
      </c>
      <c r="J3" t="inlineStr">
        <is>
          <t>アースドリーム角山農場 (トンデンファーム)</t>
        </is>
      </c>
      <c r="K3" t="inlineStr">
        <is>
          <t>上川町営牧場</t>
        </is>
      </c>
      <c r="L3" t="inlineStr">
        <is>
          <t>太田ファーム (大空町)</t>
        </is>
      </c>
      <c r="M3" t="inlineStr">
        <is>
          <t>はこだてSinアグリファーム</t>
        </is>
      </c>
    </row>
    <row r="4">
      <c r="A4" t="inlineStr">
        <is>
          <t>道東</t>
        </is>
      </c>
      <c r="B4" t="inlineStr">
        <is>
          <t>JAきょうわ</t>
        </is>
      </c>
      <c r="C4" t="inlineStr">
        <is>
          <t>JAひがし宗谷 (東宗谷農業協同組合)</t>
        </is>
      </c>
      <c r="D4" t="inlineStr">
        <is>
          <t>JAおびひろ ※2003年JA帯広かわにしへ合併・現存せず</t>
        </is>
      </c>
      <c r="E4" t="inlineStr">
        <is>
          <t>小澤牧場 (大沼肉牛ファーム)</t>
        </is>
      </c>
      <c r="F4" t="inlineStr">
        <is>
          <t>JAきょうわ</t>
        </is>
      </c>
      <c r="G4" t="inlineStr">
        <is>
          <t>JAひがし宗谷 (東宗谷農業協同組合)</t>
        </is>
      </c>
      <c r="H4" t="inlineStr">
        <is>
          <t>JAおびひろ ※2003年JA帯広かわにしへ合併・現存せず</t>
        </is>
      </c>
      <c r="J4" t="inlineStr">
        <is>
          <t>ファームエイジ株式会社</t>
        </is>
      </c>
      <c r="K4" t="inlineStr">
        <is>
          <t>剣淵町営牧場</t>
        </is>
      </c>
      <c r="L4" t="inlineStr">
        <is>
          <t>有限会社佐々木種畜牧場</t>
        </is>
      </c>
      <c r="M4" t="inlineStr">
        <is>
          <t>小澤牧場 (大沼肉牛ファーム)</t>
        </is>
      </c>
    </row>
    <row r="5">
      <c r="A5" t="inlineStr">
        <is>
          <t>道南</t>
        </is>
      </c>
      <c r="B5" t="inlineStr">
        <is>
          <t>JAたきかわ</t>
        </is>
      </c>
      <c r="C5" t="inlineStr">
        <is>
          <t>JAぴっぷ町</t>
        </is>
      </c>
      <c r="D5" t="inlineStr">
        <is>
          <t>JAきたみらい</t>
        </is>
      </c>
      <c r="E5" t="inlineStr">
        <is>
          <t>日本クリーンファーム株式会社 道南事業所</t>
        </is>
      </c>
      <c r="F5" t="inlineStr">
        <is>
          <t>JAたきかわ</t>
        </is>
      </c>
      <c r="G5" t="inlineStr">
        <is>
          <t>JAぴっぷ町</t>
        </is>
      </c>
      <c r="H5" t="inlineStr">
        <is>
          <t>JAきたみらい</t>
        </is>
      </c>
      <c r="J5" t="inlineStr">
        <is>
          <t>ホクレンくみあいファーム株式会社 恵庭農場</t>
        </is>
      </c>
      <c r="K5" t="inlineStr">
        <is>
          <t>名寄市営牧場</t>
        </is>
      </c>
      <c r="L5" t="inlineStr">
        <is>
          <t>有限会社山口ファーム</t>
        </is>
      </c>
      <c r="M5" t="inlineStr">
        <is>
          <t>日本クリーンファーム株式会社 道南事業所</t>
        </is>
      </c>
    </row>
    <row r="6">
      <c r="B6" t="inlineStr">
        <is>
          <t>JAびばい</t>
        </is>
      </c>
      <c r="C6" t="inlineStr">
        <is>
          <t>JAオロロン ※令和3年JAるもいへ合併・現存せず</t>
        </is>
      </c>
      <c r="D6" t="inlineStr">
        <is>
          <t>JAこしみず</t>
        </is>
      </c>
      <c r="E6" t="inlineStr">
        <is>
          <t>日本フードパッカー株式会社 道南工場</t>
        </is>
      </c>
      <c r="F6" t="inlineStr">
        <is>
          <t>JAびばい</t>
        </is>
      </c>
      <c r="G6" t="inlineStr">
        <is>
          <t>JAオロロン ※令和3年JAるもいへ合併・現存せず</t>
        </is>
      </c>
      <c r="H6" t="inlineStr">
        <is>
          <t>JAこしみず</t>
        </is>
      </c>
      <c r="J6" t="inlineStr">
        <is>
          <t>一般社団法人Agricola (ファームアグリコラ)</t>
        </is>
      </c>
      <c r="K6" t="inlineStr">
        <is>
          <t>和寒町営牧場</t>
        </is>
      </c>
      <c r="L6" t="inlineStr">
        <is>
          <t>有限会社網走ふる里牧場</t>
        </is>
      </c>
      <c r="M6" t="inlineStr">
        <is>
          <t>日本フードパッカー株式会社 道南工場</t>
        </is>
      </c>
    </row>
    <row r="7">
      <c r="B7" t="inlineStr">
        <is>
          <t>JAみねのぶ</t>
        </is>
      </c>
      <c r="C7" t="inlineStr">
        <is>
          <t>JA上川中央</t>
        </is>
      </c>
      <c r="D7" t="inlineStr">
        <is>
          <t>JAしべちゃ</t>
        </is>
      </c>
      <c r="E7" t="inlineStr">
        <is>
          <t>有限会社サクセス森</t>
        </is>
      </c>
      <c r="F7" t="inlineStr">
        <is>
          <t>JAみねのぶ</t>
        </is>
      </c>
      <c r="G7" t="inlineStr">
        <is>
          <t>JA上川中央</t>
        </is>
      </c>
      <c r="H7" t="inlineStr">
        <is>
          <t>JAしべちゃ</t>
        </is>
      </c>
      <c r="J7" t="inlineStr">
        <is>
          <t>北海道ホルスタイン農業協同組合</t>
        </is>
      </c>
      <c r="K7" t="inlineStr">
        <is>
          <t>士別市営天塩川牧場</t>
        </is>
      </c>
      <c r="L7" t="inlineStr">
        <is>
          <t>有限会社網走原生牧場観光センター</t>
        </is>
      </c>
      <c r="M7" t="inlineStr">
        <is>
          <t>有限会社サクセス森</t>
        </is>
      </c>
    </row>
    <row r="8">
      <c r="B8" t="inlineStr">
        <is>
          <t>JAよいち (旧JA余市町)</t>
        </is>
      </c>
      <c r="C8" t="inlineStr">
        <is>
          <t>JA北ひびき</t>
        </is>
      </c>
      <c r="D8" t="inlineStr">
        <is>
          <t>JAしれとこ斜里 (旧JA斜里町)</t>
        </is>
      </c>
      <c r="E8" t="inlineStr">
        <is>
          <t>有限会社森農場</t>
        </is>
      </c>
      <c r="F8" t="inlineStr">
        <is>
          <t>JAよいち (旧JA余市町)</t>
        </is>
      </c>
      <c r="G8" t="inlineStr">
        <is>
          <t>JA北ひびき</t>
        </is>
      </c>
      <c r="H8" t="inlineStr">
        <is>
          <t>JAしれとこ斜里 (旧JA斜里町)</t>
        </is>
      </c>
      <c r="J8" t="inlineStr">
        <is>
          <t>千歳市営牧場 (公益財団法人道央農業振興公社)</t>
        </is>
      </c>
      <c r="K8" t="inlineStr">
        <is>
          <t>天塩町営牧場 / 株式会社天塩町酪農振興公社</t>
        </is>
      </c>
      <c r="L8" t="inlineStr">
        <is>
          <t>有限会社西牧場</t>
        </is>
      </c>
      <c r="M8" t="inlineStr">
        <is>
          <t>有限会社森農場</t>
        </is>
      </c>
    </row>
    <row r="9">
      <c r="B9" t="inlineStr">
        <is>
          <t>JAピンネ</t>
        </is>
      </c>
      <c r="C9" t="inlineStr">
        <is>
          <t>JA北宗谷</t>
        </is>
      </c>
      <c r="D9" t="inlineStr">
        <is>
          <t>JAつべつ</t>
        </is>
      </c>
      <c r="E9" t="inlineStr">
        <is>
          <t>有限会社西村畜産</t>
        </is>
      </c>
      <c r="F9" t="inlineStr">
        <is>
          <t>JAピンネ</t>
        </is>
      </c>
      <c r="G9" t="inlineStr">
        <is>
          <t>JA北宗谷</t>
        </is>
      </c>
      <c r="H9" t="inlineStr">
        <is>
          <t>JAつべつ</t>
        </is>
      </c>
      <c r="J9" t="inlineStr">
        <is>
          <t>寺山農場</t>
        </is>
      </c>
      <c r="K9" t="inlineStr">
        <is>
          <t>富良野牧場</t>
        </is>
      </c>
      <c r="L9" t="inlineStr">
        <is>
          <t>有限会社長尾産業</t>
        </is>
      </c>
      <c r="M9" t="inlineStr">
        <is>
          <t>有限会社西村畜産</t>
        </is>
      </c>
    </row>
    <row r="10">
      <c r="B10" t="inlineStr">
        <is>
          <t>JA北いしかり (旧JA北石狩)</t>
        </is>
      </c>
      <c r="C10" t="inlineStr">
        <is>
          <t>JA南るもい ※令和3年JAるもいへ合併・現存せず</t>
        </is>
      </c>
      <c r="D10" t="inlineStr">
        <is>
          <t>JAところ</t>
        </is>
      </c>
      <c r="E10" t="inlineStr">
        <is>
          <t>有限会社道南アグロ (ひこま豚)</t>
        </is>
      </c>
      <c r="F10" t="inlineStr">
        <is>
          <t>JA北いしかり (旧JA北石狩)</t>
        </is>
      </c>
      <c r="G10" t="inlineStr">
        <is>
          <t>JA南るもい ※令和3年JAるもいへ合併・現存せず</t>
        </is>
      </c>
      <c r="H10" t="inlineStr">
        <is>
          <t>JAところ</t>
        </is>
      </c>
      <c r="J10" t="inlineStr">
        <is>
          <t>有限会社大塚ファーム</t>
        </is>
      </c>
      <c r="K10" t="inlineStr">
        <is>
          <t>幌延町営牧場 (ほろのべトナカイ観光牧場)</t>
        </is>
      </c>
      <c r="L10" t="inlineStr">
        <is>
          <t>株式会社オホーツクファーム33</t>
        </is>
      </c>
      <c r="M10" t="inlineStr">
        <is>
          <t>有限会社道南アグロ (ひこま豚)</t>
        </is>
      </c>
    </row>
    <row r="11">
      <c r="B11" t="inlineStr">
        <is>
          <t>JA北いぶき</t>
        </is>
      </c>
      <c r="C11" t="inlineStr">
        <is>
          <t>JA宗谷南</t>
        </is>
      </c>
      <c r="D11" t="inlineStr">
        <is>
          <t>JAなかしゅんべつ (中春別農業協同組合)</t>
        </is>
      </c>
      <c r="E11" t="inlineStr">
        <is>
          <t>有限会社高橋畜産 (若松ポークマン)</t>
        </is>
      </c>
      <c r="F11" t="inlineStr">
        <is>
          <t>JA北いぶき</t>
        </is>
      </c>
      <c r="G11" t="inlineStr">
        <is>
          <t>JA宗谷南</t>
        </is>
      </c>
      <c r="H11" t="inlineStr">
        <is>
          <t>JAなかしゅんべつ (中春別農業協同組合)</t>
        </is>
      </c>
      <c r="J11" t="inlineStr">
        <is>
          <t>有限会社大塚農場</t>
        </is>
      </c>
      <c r="K11" t="inlineStr">
        <is>
          <t>日本ハム北海道ファクトリー株式会社 旭川工場</t>
        </is>
      </c>
      <c r="L11" t="inlineStr">
        <is>
          <t>株式会社北きつね牧場</t>
        </is>
      </c>
      <c r="M11" t="inlineStr">
        <is>
          <t>有限会社高橋畜産 (若松ポークマン)</t>
        </is>
      </c>
    </row>
    <row r="12">
      <c r="B12" t="inlineStr">
        <is>
          <t>JA新おたる</t>
        </is>
      </c>
      <c r="C12" t="inlineStr">
        <is>
          <t>JA当麻</t>
        </is>
      </c>
      <c r="D12" t="inlineStr">
        <is>
          <t>JAびほろ</t>
        </is>
      </c>
      <c r="E12" t="inlineStr">
        <is>
          <t>株式会社ひこま豚 / 道南アグロ</t>
        </is>
      </c>
      <c r="F12" t="inlineStr">
        <is>
          <t>JA新おたる</t>
        </is>
      </c>
      <c r="G12" t="inlineStr">
        <is>
          <t>JA当麻</t>
        </is>
      </c>
      <c r="H12" t="inlineStr">
        <is>
          <t>JAびほろ</t>
        </is>
      </c>
      <c r="J12" t="inlineStr">
        <is>
          <t>有限会社小林牧場</t>
        </is>
      </c>
      <c r="K12" t="inlineStr">
        <is>
          <t>旭川市営牧場 (嵐山牧場)</t>
        </is>
      </c>
      <c r="L12" t="inlineStr">
        <is>
          <t>株式会社北海道畜産公社 道東事業所 北見工場</t>
        </is>
      </c>
      <c r="M12" t="inlineStr">
        <is>
          <t>株式会社ひこま豚 / 道南アグロ</t>
        </is>
      </c>
    </row>
    <row r="13">
      <c r="B13" t="inlineStr">
        <is>
          <t>JA新しのつ</t>
        </is>
      </c>
      <c r="C13" t="inlineStr">
        <is>
          <t>JA東神楽</t>
        </is>
      </c>
      <c r="D13" t="inlineStr">
        <is>
          <t>JAめまんべつ</t>
        </is>
      </c>
      <c r="E13" t="inlineStr">
        <is>
          <t>株式会社函館酪農公社 (函館牛乳)</t>
        </is>
      </c>
      <c r="F13" t="inlineStr">
        <is>
          <t>JA新しのつ</t>
        </is>
      </c>
      <c r="G13" t="inlineStr">
        <is>
          <t>JA東神楽</t>
        </is>
      </c>
      <c r="H13" t="inlineStr">
        <is>
          <t>JAめまんべつ</t>
        </is>
      </c>
      <c r="J13" t="inlineStr">
        <is>
          <t>有限会社山中畜産</t>
        </is>
      </c>
      <c r="K13" t="inlineStr">
        <is>
          <t>有限会社きしかわ畜産</t>
        </is>
      </c>
      <c r="L13" t="inlineStr">
        <is>
          <t>株式会社協同畜産経営センター</t>
        </is>
      </c>
      <c r="M13" t="inlineStr">
        <is>
          <t>株式会社函館酪農公社 (函館牛乳)</t>
        </is>
      </c>
    </row>
    <row r="14">
      <c r="B14" t="inlineStr">
        <is>
          <t>JA新すながわ</t>
        </is>
      </c>
      <c r="C14" t="inlineStr">
        <is>
          <t>JA道北なよろ (旧JA名寄)</t>
        </is>
      </c>
      <c r="D14" t="inlineStr">
        <is>
          <t>JAオホーツク網走</t>
        </is>
      </c>
      <c r="E14" t="inlineStr">
        <is>
          <t>株式会社山邊畜産</t>
        </is>
      </c>
      <c r="F14" t="inlineStr">
        <is>
          <t>JA新すながわ</t>
        </is>
      </c>
      <c r="G14" t="inlineStr">
        <is>
          <t>JA道北なよろ (旧JA名寄)</t>
        </is>
      </c>
      <c r="H14" t="inlineStr">
        <is>
          <t>JAオホーツク網走</t>
        </is>
      </c>
      <c r="J14" t="inlineStr">
        <is>
          <t>有限会社永光農園</t>
        </is>
      </c>
      <c r="K14" t="inlineStr">
        <is>
          <t>東宗谷農業協同組合 猿払支所/畜産事業所</t>
        </is>
      </c>
      <c r="L14" t="inlineStr">
        <is>
          <t>株式会社小清水農業振興公社 (アグリハートセンター)</t>
        </is>
      </c>
      <c r="M14" t="inlineStr">
        <is>
          <t>株式会社山邊畜産</t>
        </is>
      </c>
    </row>
    <row r="15">
      <c r="B15" t="inlineStr">
        <is>
          <t>JA月形町</t>
        </is>
      </c>
      <c r="C15" t="inlineStr">
        <is>
          <t>ファームズ千代田</t>
        </is>
      </c>
      <c r="D15" t="inlineStr">
        <is>
          <t>JA上士幌町</t>
        </is>
      </c>
      <c r="E15" t="inlineStr">
        <is>
          <t>鈴木牧場 (北斗市)</t>
        </is>
      </c>
      <c r="F15" t="inlineStr">
        <is>
          <t>JA月形町</t>
        </is>
      </c>
      <c r="H15" t="inlineStr">
        <is>
          <t>JA上士幌町</t>
        </is>
      </c>
      <c r="J15" t="inlineStr">
        <is>
          <t>有限会社池端牧場</t>
        </is>
      </c>
      <c r="K15" t="inlineStr">
        <is>
          <t>株式会社サロベツファーム</t>
        </is>
      </c>
      <c r="L15" t="inlineStr">
        <is>
          <t>株式会社楠目牧場</t>
        </is>
      </c>
      <c r="M15" t="inlineStr">
        <is>
          <t>鈴木牧場 (北斗市)</t>
        </is>
      </c>
    </row>
    <row r="16">
      <c r="B16" t="inlineStr">
        <is>
          <t>JA道央</t>
        </is>
      </c>
      <c r="C16" t="inlineStr">
        <is>
          <t>上川町営牧場</t>
        </is>
      </c>
      <c r="D16" t="inlineStr">
        <is>
          <t>JA士幌町</t>
        </is>
      </c>
      <c r="F16" t="inlineStr">
        <is>
          <t>JA道央</t>
        </is>
      </c>
      <c r="H16" t="inlineStr">
        <is>
          <t>JA士幌町</t>
        </is>
      </c>
      <c r="J16" t="inlineStr">
        <is>
          <t>有限会社浅野農場</t>
        </is>
      </c>
      <c r="K16" t="inlineStr">
        <is>
          <t>株式会社早川牧場 / 有限会社下士別畜産 (もろみ豚 共同販売)</t>
        </is>
      </c>
      <c r="L16" t="inlineStr">
        <is>
          <t>株式会社津別ファーム</t>
        </is>
      </c>
    </row>
    <row r="17">
      <c r="B17" t="inlineStr">
        <is>
          <t>おおやファーム株式会社</t>
        </is>
      </c>
      <c r="C17" t="inlineStr">
        <is>
          <t>剣淵町営牧場</t>
        </is>
      </c>
      <c r="D17" t="inlineStr">
        <is>
          <t>JA帯広かわにし</t>
        </is>
      </c>
      <c r="H17" t="inlineStr">
        <is>
          <t>JA帯広かわにし</t>
        </is>
      </c>
      <c r="J17" t="inlineStr">
        <is>
          <t>有限会社福屋牧場</t>
        </is>
      </c>
      <c r="K17" t="inlineStr">
        <is>
          <t>株式会社東武牧場</t>
        </is>
      </c>
      <c r="L17" t="inlineStr">
        <is>
          <t>株式会社美幌ファーム</t>
        </is>
      </c>
    </row>
    <row r="18">
      <c r="B18" t="inlineStr">
        <is>
          <t>アースドリーム角山農場 (トンデンファーム)</t>
        </is>
      </c>
      <c r="C18" t="inlineStr">
        <is>
          <t>名寄市営牧場</t>
        </is>
      </c>
      <c r="D18" t="inlineStr">
        <is>
          <t>JA新得町</t>
        </is>
      </c>
      <c r="H18" t="inlineStr">
        <is>
          <t>JA新得町</t>
        </is>
      </c>
      <c r="J18" t="inlineStr">
        <is>
          <t>有限会社長沼ファーム</t>
        </is>
      </c>
      <c r="K18" t="inlineStr">
        <is>
          <t>株式会社豊富牛乳公社</t>
        </is>
      </c>
      <c r="L18" t="inlineStr">
        <is>
          <t>株式会社美幌牛肥育センター</t>
        </is>
      </c>
    </row>
    <row r="19">
      <c r="B19" t="inlineStr">
        <is>
          <t>ファームエイジ株式会社</t>
        </is>
      </c>
      <c r="C19" t="inlineStr">
        <is>
          <t>和寒町営牧場</t>
        </is>
      </c>
      <c r="D19" t="inlineStr">
        <is>
          <t>JA木野</t>
        </is>
      </c>
      <c r="H19" t="inlineStr">
        <is>
          <t>JA木野</t>
        </is>
      </c>
      <c r="J19" t="inlineStr">
        <is>
          <t>株式会社JAKE (ジェイクジャパン)</t>
        </is>
      </c>
      <c r="K19" t="inlineStr">
        <is>
          <t>猿払村営牧場</t>
        </is>
      </c>
    </row>
    <row r="20">
      <c r="B20" t="inlineStr">
        <is>
          <t>ホクレンくみあいファーム株式会社 恵庭農場</t>
        </is>
      </c>
      <c r="C20" t="inlineStr">
        <is>
          <t>士別市営天塩川牧場</t>
        </is>
      </c>
      <c r="D20" t="inlineStr">
        <is>
          <t>JA標津</t>
        </is>
      </c>
      <c r="H20" t="inlineStr">
        <is>
          <t>JA標津</t>
        </is>
      </c>
      <c r="J20" t="inlineStr">
        <is>
          <t>株式会社Kalm角山</t>
        </is>
      </c>
      <c r="K20" t="inlineStr">
        <is>
          <t>美瑛放牧酪農場 (株式会社美瑛ファーム)</t>
        </is>
      </c>
    </row>
    <row r="21">
      <c r="B21" t="inlineStr">
        <is>
          <t>一般社団法人Agricola (ファームアグリコラ)</t>
        </is>
      </c>
      <c r="C21" t="inlineStr">
        <is>
          <t>天塩町営牧場 / 株式会社天塩町酪農振興公社</t>
        </is>
      </c>
      <c r="D21" t="inlineStr">
        <is>
          <t>JA清里町</t>
        </is>
      </c>
      <c r="H21" t="inlineStr">
        <is>
          <t>JA清里町</t>
        </is>
      </c>
      <c r="J21" t="inlineStr">
        <is>
          <t>株式会社ぼくはん</t>
        </is>
      </c>
      <c r="K21" t="inlineStr">
        <is>
          <t>豊富町大規模草地育成牧場 (町営牧場)</t>
        </is>
      </c>
    </row>
    <row r="22">
      <c r="B22" t="inlineStr">
        <is>
          <t>北海道ホルスタイン農業協同組合</t>
        </is>
      </c>
      <c r="C22" t="inlineStr">
        <is>
          <t>富良野牧場</t>
        </is>
      </c>
      <c r="D22" t="inlineStr">
        <is>
          <t>JA道東あさひ</t>
        </is>
      </c>
      <c r="H22" t="inlineStr">
        <is>
          <t>JA道東あさひ</t>
        </is>
      </c>
      <c r="J22" t="inlineStr">
        <is>
          <t>株式会社ホクリヨウ 千歳GP</t>
        </is>
      </c>
      <c r="K22" t="inlineStr">
        <is>
          <t>農事組合法人 大雪牧場</t>
        </is>
      </c>
    </row>
    <row r="23">
      <c r="B23" t="inlineStr">
        <is>
          <t>千歳市営牧場 (公益財団法人道央農業振興公社)</t>
        </is>
      </c>
      <c r="C23" t="inlineStr">
        <is>
          <t>幌延町営牧場 (ほろのべトナカイ観光牧場)</t>
        </is>
      </c>
      <c r="D23" t="inlineStr">
        <is>
          <t>JA阿寒</t>
        </is>
      </c>
      <c r="H23" t="inlineStr">
        <is>
          <t>JA阿寒</t>
        </is>
      </c>
      <c r="J23" t="inlineStr">
        <is>
          <t>株式会社ホクリヨウ(本社)</t>
        </is>
      </c>
      <c r="K23" t="inlineStr">
        <is>
          <t>鷹栖町営牧場</t>
        </is>
      </c>
    </row>
    <row r="24">
      <c r="B24" t="inlineStr">
        <is>
          <t>寺山農場</t>
        </is>
      </c>
      <c r="C24" t="inlineStr">
        <is>
          <t>日本ハム北海道ファクトリー株式会社 旭川工場</t>
        </is>
      </c>
      <c r="D24" t="inlineStr">
        <is>
          <t>JA鹿追町</t>
        </is>
      </c>
      <c r="H24" t="inlineStr">
        <is>
          <t>JA鹿追町</t>
        </is>
      </c>
      <c r="J24" t="inlineStr">
        <is>
          <t>株式会社ユートピアアグリカルチャー (本店:日高町豊郷916-6)</t>
        </is>
      </c>
    </row>
    <row r="25">
      <c r="B25" t="inlineStr">
        <is>
          <t>有限会社大塚ファーム</t>
        </is>
      </c>
      <c r="C25" t="inlineStr">
        <is>
          <t>旭川市営牧場 (嵐山牧場)</t>
        </is>
      </c>
      <c r="D25" t="inlineStr">
        <is>
          <t>エミュー牧場 (オホーツクエミューらんど)</t>
        </is>
      </c>
      <c r="J25" t="inlineStr">
        <is>
          <t>株式会社北海道中央牧場</t>
        </is>
      </c>
    </row>
    <row r="26">
      <c r="B26" t="inlineStr">
        <is>
          <t>有限会社大塚農場</t>
        </is>
      </c>
      <c r="C26" t="inlineStr">
        <is>
          <t>有限会社きしかわ畜産</t>
        </is>
      </c>
      <c r="D26" t="inlineStr">
        <is>
          <t>太田ファーム (大空町)</t>
        </is>
      </c>
      <c r="J26" t="inlineStr">
        <is>
          <t>株式会社北海道酪農公社</t>
        </is>
      </c>
    </row>
    <row r="27">
      <c r="B27" t="inlineStr">
        <is>
          <t>有限会社小林牧場</t>
        </is>
      </c>
      <c r="C27" t="inlineStr">
        <is>
          <t>東宗谷農業協同組合 猿払支所/畜産事業所</t>
        </is>
      </c>
      <c r="D27" t="inlineStr">
        <is>
          <t>有限会社佐々木種畜牧場</t>
        </is>
      </c>
      <c r="J27" t="inlineStr">
        <is>
          <t>株式会社太田ファーム</t>
        </is>
      </c>
    </row>
    <row r="28">
      <c r="B28" t="inlineStr">
        <is>
          <t>有限会社山中畜産</t>
        </is>
      </c>
      <c r="C28" t="inlineStr">
        <is>
          <t>株式会社サロベツファーム</t>
        </is>
      </c>
      <c r="D28" t="inlineStr">
        <is>
          <t>有限会社山口ファーム</t>
        </is>
      </c>
      <c r="J28" t="inlineStr">
        <is>
          <t>株式会社町村農場</t>
        </is>
      </c>
    </row>
    <row r="29">
      <c r="B29" t="inlineStr">
        <is>
          <t>有限会社永光農園</t>
        </is>
      </c>
      <c r="C29" t="inlineStr">
        <is>
          <t>株式会社早川牧場 / 有限会社下士別畜産 (もろみ豚 共同販売)</t>
        </is>
      </c>
      <c r="D29" t="inlineStr">
        <is>
          <t>有限会社網走ふる里牧場</t>
        </is>
      </c>
      <c r="J29" t="inlineStr">
        <is>
          <t>株式会社肉の山本 (千歳ラム工房)</t>
        </is>
      </c>
    </row>
    <row r="30">
      <c r="B30" t="inlineStr">
        <is>
          <t>有限会社池端牧場</t>
        </is>
      </c>
      <c r="C30" t="inlineStr">
        <is>
          <t>株式会社東武牧場</t>
        </is>
      </c>
      <c r="D30" t="inlineStr">
        <is>
          <t>有限会社網走原生牧場観光センター</t>
        </is>
      </c>
      <c r="J30" t="inlineStr">
        <is>
          <t>橋田牧場</t>
        </is>
      </c>
    </row>
    <row r="31">
      <c r="B31" t="inlineStr">
        <is>
          <t>有限会社浅野農場</t>
        </is>
      </c>
      <c r="C31" t="inlineStr">
        <is>
          <t>株式会社豊富牛乳公社</t>
        </is>
      </c>
      <c r="D31" t="inlineStr">
        <is>
          <t>有限会社西牧場</t>
        </is>
      </c>
      <c r="J31" t="inlineStr">
        <is>
          <t>石橋牧場</t>
        </is>
      </c>
    </row>
    <row r="32">
      <c r="B32" t="inlineStr">
        <is>
          <t>有限会社福屋牧場</t>
        </is>
      </c>
      <c r="C32" t="inlineStr">
        <is>
          <t>猿払村営牧場</t>
        </is>
      </c>
      <c r="D32" t="inlineStr">
        <is>
          <t>有限会社長尾産業</t>
        </is>
      </c>
      <c r="J32" t="inlineStr">
        <is>
          <t>石狩ひつじ牧場</t>
        </is>
      </c>
    </row>
    <row r="33">
      <c r="B33" t="inlineStr">
        <is>
          <t>有限会社長沼ファーム</t>
        </is>
      </c>
      <c r="C33" t="inlineStr">
        <is>
          <t>美瑛放牧酪農場 (株式会社美瑛ファーム)</t>
        </is>
      </c>
      <c r="D33" t="inlineStr">
        <is>
          <t>株式会社オホーツクファーム33</t>
        </is>
      </c>
      <c r="J33" t="inlineStr">
        <is>
          <t>藤本農場</t>
        </is>
      </c>
    </row>
    <row r="34">
      <c r="B34" t="inlineStr">
        <is>
          <t>株式会社JAKE (ジェイクジャパン)</t>
        </is>
      </c>
      <c r="C34" t="inlineStr">
        <is>
          <t>豊富町大規模草地育成牧場 (町営牧場)</t>
        </is>
      </c>
      <c r="D34" t="inlineStr">
        <is>
          <t>株式会社北きつね牧場</t>
        </is>
      </c>
      <c r="J34" t="inlineStr">
        <is>
          <t>酪農体験むらかみ牧場</t>
        </is>
      </c>
    </row>
    <row r="35">
      <c r="B35" t="inlineStr">
        <is>
          <t>株式会社Kalm角山</t>
        </is>
      </c>
      <c r="C35" t="inlineStr">
        <is>
          <t>農事組合法人 大雪牧場</t>
        </is>
      </c>
      <c r="D35" t="inlineStr">
        <is>
          <t>株式会社北海道畜産公社 道東事業所 北見工場</t>
        </is>
      </c>
    </row>
    <row r="36">
      <c r="B36" t="inlineStr">
        <is>
          <t>株式会社ぼくはん</t>
        </is>
      </c>
      <c r="C36" t="inlineStr">
        <is>
          <t>鷹栖町営牧場</t>
        </is>
      </c>
      <c r="D36" t="inlineStr">
        <is>
          <t>株式会社協同畜産経営センター</t>
        </is>
      </c>
    </row>
    <row r="37">
      <c r="B37" t="inlineStr">
        <is>
          <t>株式会社ホクリヨウ 千歳GP</t>
        </is>
      </c>
      <c r="D37" t="inlineStr">
        <is>
          <t>株式会社小清水農業振興公社 (アグリハートセンター)</t>
        </is>
      </c>
    </row>
    <row r="38">
      <c r="B38" t="inlineStr">
        <is>
          <t>株式会社ホクリヨウ(本社)</t>
        </is>
      </c>
      <c r="D38" t="inlineStr">
        <is>
          <t>株式会社楠目牧場</t>
        </is>
      </c>
    </row>
    <row r="39">
      <c r="B39" t="inlineStr">
        <is>
          <t>株式会社ユートピアアグリカルチャー (本店:日高町豊郷916-6)</t>
        </is>
      </c>
      <c r="D39" t="inlineStr">
        <is>
          <t>株式会社津別ファーム</t>
        </is>
      </c>
    </row>
    <row r="40">
      <c r="B40" t="inlineStr">
        <is>
          <t>株式会社北海道中央牧場</t>
        </is>
      </c>
      <c r="D40" t="inlineStr">
        <is>
          <t>株式会社美幌ファーム</t>
        </is>
      </c>
    </row>
    <row r="41">
      <c r="B41" t="inlineStr">
        <is>
          <t>株式会社北海道酪農公社</t>
        </is>
      </c>
      <c r="D41" t="inlineStr">
        <is>
          <t>株式会社美幌牛肥育センター</t>
        </is>
      </c>
    </row>
    <row r="42">
      <c r="B42" t="inlineStr">
        <is>
          <t>株式会社太田ファーム</t>
        </is>
      </c>
    </row>
    <row r="43">
      <c r="B43" t="inlineStr">
        <is>
          <t>株式会社町村農場</t>
        </is>
      </c>
    </row>
    <row r="44">
      <c r="B44" t="inlineStr">
        <is>
          <t>株式会社肉の山本 (千歳ラム工房)</t>
        </is>
      </c>
    </row>
    <row r="45">
      <c r="B45" t="inlineStr">
        <is>
          <t>橋田牧場</t>
        </is>
      </c>
    </row>
    <row r="46">
      <c r="B46" t="inlineStr">
        <is>
          <t>石橋牧場</t>
        </is>
      </c>
    </row>
    <row r="47">
      <c r="B47" t="inlineStr">
        <is>
          <t>石狩ひつじ牧場</t>
        </is>
      </c>
    </row>
    <row r="48">
      <c r="B48" t="inlineStr">
        <is>
          <t>藤本農場</t>
        </is>
      </c>
    </row>
    <row r="49">
      <c r="B49" t="inlineStr">
        <is>
          <t>酪農体験むらかみ牧場</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武田 悦郎 (Etsuro Takeda)</dc:creator>
  <dcterms:created xsi:type="dcterms:W3CDTF">2026-04-22T14:30:44Z</dcterms:created>
  <dcterms:modified xsi:type="dcterms:W3CDTF">2026-05-14T07:06:24Z</dcterms:modified>
  <cp:lastModifiedBy>武田 悦郎 (Etsuro Takeda)</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0x010100FB5D0F056A9BE342A53C78A05252BFC3</vt:lpwstr>
  </property>
</Properties>
</file>